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67F21539-6C7C-44A6-B451-C572C6D4BC9C}" xr6:coauthVersionLast="47" xr6:coauthVersionMax="47" xr10:uidLastSave="{00000000-0000-0000-0000-000000000000}"/>
  <bookViews>
    <workbookView xWindow="-110" yWindow="-110" windowWidth="19420" windowHeight="10300" tabRatio="500" firstSheet="4" activeTab="6" xr2:uid="{00000000-000D-0000-FFFF-FFFF00000000}"/>
  </bookViews>
  <sheets>
    <sheet name="Dashboard" sheetId="1" r:id="rId1"/>
    <sheet name="Elek_Analog" sheetId="2" r:id="rId2"/>
    <sheet name="Elek_Digital" sheetId="3" r:id="rId3"/>
    <sheet name="Sistem_Instr" sheetId="4" r:id="rId4"/>
    <sheet name="Jar_Komunikasi" sheetId="5" r:id="rId5"/>
    <sheet name="Defect Log" sheetId="6" r:id="rId6"/>
    <sheet name="Defect Analysis &amp; Trend" sheetId="7" r:id="rId7"/>
  </sheets>
  <definedNames>
    <definedName name="_xlnm.Print_Area" localSheetId="0">Dashboard!$A$1:$M$35</definedName>
    <definedName name="_xlnm.Print_Area" localSheetId="6">'Defect Analysis &amp; Trend'!$A$1:$R$79</definedName>
    <definedName name="_xlnm.Print_Area" localSheetId="5">'Defect Log'!$A$1:$L$16</definedName>
    <definedName name="_xlnm.Print_Area" localSheetId="1">Elek_Analog!$A$1:$O$67</definedName>
    <definedName name="_xlnm.Print_Area" localSheetId="2">Elek_Digital!$A$1:$O$67</definedName>
    <definedName name="_xlnm.Print_Area" localSheetId="4">Jar_Komunikasi!$A$1:$O$67</definedName>
    <definedName name="_xlnm.Print_Area" localSheetId="3">Sistem_Instr!$A$1:$O$67</definedName>
    <definedName name="_xlnm.Print_Titles" localSheetId="6">'Defect Analysis &amp; Trend'!$1:$1</definedName>
    <definedName name="_xlnm.Print_Titles" localSheetId="1">Elek_Analog!$5:$5</definedName>
    <definedName name="_xlnm.Print_Titles" localSheetId="2">Elek_Digital!$5:$5</definedName>
    <definedName name="_xlnm.Print_Titles" localSheetId="4">Jar_Komunikasi!$5:$5</definedName>
    <definedName name="_xlnm.Print_Titles" localSheetId="3">Sistem_Instr!$5:$5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4" i="7" l="1"/>
  <c r="G59" i="7"/>
  <c r="H59" i="7" s="1"/>
  <c r="F59" i="7"/>
  <c r="E59" i="7"/>
  <c r="D59" i="7"/>
  <c r="C59" i="7"/>
  <c r="G58" i="7"/>
  <c r="H58" i="7" s="1"/>
  <c r="J58" i="7" s="1"/>
  <c r="G57" i="7"/>
  <c r="H57" i="7" s="1"/>
  <c r="J57" i="7" s="1"/>
  <c r="J56" i="7"/>
  <c r="H56" i="7"/>
  <c r="G56" i="7"/>
  <c r="H55" i="7"/>
  <c r="J55" i="7" s="1"/>
  <c r="G55" i="7"/>
  <c r="H54" i="7"/>
  <c r="J54" i="7" s="1"/>
  <c r="G54" i="7"/>
  <c r="J53" i="7"/>
  <c r="H53" i="7"/>
  <c r="G53" i="7"/>
  <c r="J52" i="7"/>
  <c r="H52" i="7"/>
  <c r="G52" i="7"/>
  <c r="J51" i="7"/>
  <c r="H51" i="7"/>
  <c r="G51" i="7"/>
  <c r="H50" i="7"/>
  <c r="J50" i="7" s="1"/>
  <c r="G50" i="7"/>
  <c r="J49" i="7"/>
  <c r="H49" i="7"/>
  <c r="G49" i="7"/>
  <c r="J48" i="7"/>
  <c r="H48" i="7"/>
  <c r="G48" i="7"/>
  <c r="J47" i="7"/>
  <c r="H47" i="7"/>
  <c r="G47" i="7"/>
  <c r="I14" i="7"/>
  <c r="L14" i="7" s="1"/>
  <c r="C14" i="7"/>
  <c r="F14" i="7" s="1"/>
  <c r="I6" i="7"/>
  <c r="C6" i="7"/>
  <c r="F6" i="7" s="1"/>
  <c r="I15" i="6"/>
  <c r="H15" i="6"/>
  <c r="G15" i="6"/>
  <c r="F15" i="6"/>
  <c r="E15" i="6"/>
  <c r="H66" i="5"/>
  <c r="K61" i="5"/>
  <c r="N61" i="5" s="1"/>
  <c r="O61" i="5" s="1"/>
  <c r="N60" i="5"/>
  <c r="O60" i="5" s="1"/>
  <c r="K60" i="5"/>
  <c r="K59" i="5"/>
  <c r="N59" i="5" s="1"/>
  <c r="O59" i="5" s="1"/>
  <c r="N58" i="5"/>
  <c r="O58" i="5" s="1"/>
  <c r="K58" i="5"/>
  <c r="K57" i="5"/>
  <c r="N57" i="5" s="1"/>
  <c r="O57" i="5" s="1"/>
  <c r="N56" i="5"/>
  <c r="O56" i="5" s="1"/>
  <c r="K56" i="5"/>
  <c r="K55" i="5"/>
  <c r="N55" i="5" s="1"/>
  <c r="O55" i="5" s="1"/>
  <c r="N54" i="5"/>
  <c r="O54" i="5" s="1"/>
  <c r="K54" i="5"/>
  <c r="K53" i="5"/>
  <c r="N53" i="5" s="1"/>
  <c r="O53" i="5" s="1"/>
  <c r="N52" i="5"/>
  <c r="O52" i="5" s="1"/>
  <c r="K52" i="5"/>
  <c r="K51" i="5"/>
  <c r="N51" i="5" s="1"/>
  <c r="O51" i="5" s="1"/>
  <c r="N50" i="5"/>
  <c r="O50" i="5" s="1"/>
  <c r="K50" i="5"/>
  <c r="K47" i="5"/>
  <c r="N47" i="5" s="1"/>
  <c r="O47" i="5" s="1"/>
  <c r="N46" i="5"/>
  <c r="O46" i="5" s="1"/>
  <c r="K46" i="5"/>
  <c r="K45" i="5"/>
  <c r="N45" i="5" s="1"/>
  <c r="O45" i="5" s="1"/>
  <c r="N44" i="5"/>
  <c r="O44" i="5" s="1"/>
  <c r="K44" i="5"/>
  <c r="K43" i="5"/>
  <c r="N43" i="5" s="1"/>
  <c r="O43" i="5" s="1"/>
  <c r="N42" i="5"/>
  <c r="O42" i="5" s="1"/>
  <c r="K42" i="5"/>
  <c r="K41" i="5"/>
  <c r="N41" i="5" s="1"/>
  <c r="O41" i="5" s="1"/>
  <c r="N40" i="5"/>
  <c r="O40" i="5" s="1"/>
  <c r="K40" i="5"/>
  <c r="K39" i="5"/>
  <c r="N39" i="5" s="1"/>
  <c r="O39" i="5" s="1"/>
  <c r="N38" i="5"/>
  <c r="O38" i="5" s="1"/>
  <c r="K38" i="5"/>
  <c r="K37" i="5"/>
  <c r="N37" i="5" s="1"/>
  <c r="O37" i="5" s="1"/>
  <c r="N36" i="5"/>
  <c r="O36" i="5" s="1"/>
  <c r="K36" i="5"/>
  <c r="K33" i="5"/>
  <c r="N33" i="5" s="1"/>
  <c r="O33" i="5" s="1"/>
  <c r="N32" i="5"/>
  <c r="O32" i="5" s="1"/>
  <c r="K32" i="5"/>
  <c r="K31" i="5"/>
  <c r="N31" i="5" s="1"/>
  <c r="O31" i="5" s="1"/>
  <c r="N30" i="5"/>
  <c r="O30" i="5" s="1"/>
  <c r="K30" i="5"/>
  <c r="K29" i="5"/>
  <c r="N29" i="5" s="1"/>
  <c r="O29" i="5" s="1"/>
  <c r="N28" i="5"/>
  <c r="O28" i="5" s="1"/>
  <c r="K28" i="5"/>
  <c r="K27" i="5"/>
  <c r="N27" i="5" s="1"/>
  <c r="O27" i="5" s="1"/>
  <c r="N26" i="5"/>
  <c r="O26" i="5" s="1"/>
  <c r="K26" i="5"/>
  <c r="K25" i="5"/>
  <c r="N25" i="5" s="1"/>
  <c r="O25" i="5" s="1"/>
  <c r="N24" i="5"/>
  <c r="O24" i="5" s="1"/>
  <c r="K24" i="5"/>
  <c r="K23" i="5"/>
  <c r="N23" i="5" s="1"/>
  <c r="O23" i="5" s="1"/>
  <c r="N22" i="5"/>
  <c r="O22" i="5" s="1"/>
  <c r="K22" i="5"/>
  <c r="K19" i="5"/>
  <c r="N19" i="5" s="1"/>
  <c r="O19" i="5" s="1"/>
  <c r="N18" i="5"/>
  <c r="O18" i="5" s="1"/>
  <c r="K18" i="5"/>
  <c r="K17" i="5"/>
  <c r="N17" i="5" s="1"/>
  <c r="O17" i="5" s="1"/>
  <c r="N16" i="5"/>
  <c r="O16" i="5" s="1"/>
  <c r="K16" i="5"/>
  <c r="K15" i="5"/>
  <c r="N15" i="5" s="1"/>
  <c r="O15" i="5" s="1"/>
  <c r="N14" i="5"/>
  <c r="O14" i="5" s="1"/>
  <c r="K14" i="5"/>
  <c r="K13" i="5"/>
  <c r="N13" i="5" s="1"/>
  <c r="O13" i="5" s="1"/>
  <c r="N12" i="5"/>
  <c r="O12" i="5" s="1"/>
  <c r="K12" i="5"/>
  <c r="K11" i="5"/>
  <c r="N11" i="5" s="1"/>
  <c r="O11" i="5" s="1"/>
  <c r="N10" i="5"/>
  <c r="O10" i="5" s="1"/>
  <c r="K10" i="5"/>
  <c r="K9" i="5"/>
  <c r="N9" i="5" s="1"/>
  <c r="O9" i="5" s="1"/>
  <c r="N8" i="5"/>
  <c r="J66" i="5" s="1"/>
  <c r="K8" i="5"/>
  <c r="H66" i="4"/>
  <c r="O61" i="4"/>
  <c r="N61" i="4"/>
  <c r="K61" i="4"/>
  <c r="N60" i="4"/>
  <c r="O60" i="4" s="1"/>
  <c r="K60" i="4"/>
  <c r="K59" i="4"/>
  <c r="N59" i="4" s="1"/>
  <c r="O59" i="4" s="1"/>
  <c r="N58" i="4"/>
  <c r="O58" i="4" s="1"/>
  <c r="K58" i="4"/>
  <c r="O57" i="4"/>
  <c r="N57" i="4"/>
  <c r="K57" i="4"/>
  <c r="N56" i="4"/>
  <c r="O56" i="4" s="1"/>
  <c r="K56" i="4"/>
  <c r="K55" i="4"/>
  <c r="N55" i="4" s="1"/>
  <c r="O55" i="4" s="1"/>
  <c r="N54" i="4"/>
  <c r="O54" i="4" s="1"/>
  <c r="K54" i="4"/>
  <c r="O53" i="4"/>
  <c r="N53" i="4"/>
  <c r="K53" i="4"/>
  <c r="N52" i="4"/>
  <c r="O52" i="4" s="1"/>
  <c r="K52" i="4"/>
  <c r="K51" i="4"/>
  <c r="N51" i="4" s="1"/>
  <c r="O51" i="4" s="1"/>
  <c r="N50" i="4"/>
  <c r="O50" i="4" s="1"/>
  <c r="K50" i="4"/>
  <c r="O47" i="4"/>
  <c r="N47" i="4"/>
  <c r="K47" i="4"/>
  <c r="N46" i="4"/>
  <c r="O46" i="4" s="1"/>
  <c r="K46" i="4"/>
  <c r="K45" i="4"/>
  <c r="N45" i="4" s="1"/>
  <c r="O45" i="4" s="1"/>
  <c r="N44" i="4"/>
  <c r="O44" i="4" s="1"/>
  <c r="K44" i="4"/>
  <c r="O43" i="4"/>
  <c r="N43" i="4"/>
  <c r="K43" i="4"/>
  <c r="N42" i="4"/>
  <c r="O42" i="4" s="1"/>
  <c r="K42" i="4"/>
  <c r="K41" i="4"/>
  <c r="N41" i="4" s="1"/>
  <c r="O41" i="4" s="1"/>
  <c r="N40" i="4"/>
  <c r="O40" i="4" s="1"/>
  <c r="K40" i="4"/>
  <c r="O39" i="4"/>
  <c r="N39" i="4"/>
  <c r="K39" i="4"/>
  <c r="N38" i="4"/>
  <c r="O38" i="4" s="1"/>
  <c r="K38" i="4"/>
  <c r="K37" i="4"/>
  <c r="N37" i="4" s="1"/>
  <c r="O37" i="4" s="1"/>
  <c r="N36" i="4"/>
  <c r="O36" i="4" s="1"/>
  <c r="K36" i="4"/>
  <c r="O33" i="4"/>
  <c r="N33" i="4"/>
  <c r="K33" i="4"/>
  <c r="N32" i="4"/>
  <c r="O32" i="4" s="1"/>
  <c r="K32" i="4"/>
  <c r="K31" i="4"/>
  <c r="N31" i="4" s="1"/>
  <c r="O31" i="4" s="1"/>
  <c r="N30" i="4"/>
  <c r="O30" i="4" s="1"/>
  <c r="K30" i="4"/>
  <c r="O29" i="4"/>
  <c r="N29" i="4"/>
  <c r="K29" i="4"/>
  <c r="N28" i="4"/>
  <c r="O28" i="4" s="1"/>
  <c r="K28" i="4"/>
  <c r="K27" i="4"/>
  <c r="N27" i="4" s="1"/>
  <c r="O27" i="4" s="1"/>
  <c r="N26" i="4"/>
  <c r="O26" i="4" s="1"/>
  <c r="K26" i="4"/>
  <c r="O25" i="4"/>
  <c r="N25" i="4"/>
  <c r="K25" i="4"/>
  <c r="N24" i="4"/>
  <c r="O24" i="4" s="1"/>
  <c r="K24" i="4"/>
  <c r="K23" i="4"/>
  <c r="N23" i="4" s="1"/>
  <c r="O23" i="4" s="1"/>
  <c r="N22" i="4"/>
  <c r="O22" i="4" s="1"/>
  <c r="K22" i="4"/>
  <c r="O19" i="4"/>
  <c r="N19" i="4"/>
  <c r="K19" i="4"/>
  <c r="N18" i="4"/>
  <c r="O18" i="4" s="1"/>
  <c r="K18" i="4"/>
  <c r="K17" i="4"/>
  <c r="C15" i="7" s="1"/>
  <c r="N16" i="4"/>
  <c r="O16" i="4" s="1"/>
  <c r="K16" i="4"/>
  <c r="O15" i="4"/>
  <c r="N15" i="4"/>
  <c r="K15" i="4"/>
  <c r="N14" i="4"/>
  <c r="O14" i="4" s="1"/>
  <c r="K14" i="4"/>
  <c r="K13" i="4"/>
  <c r="N13" i="4" s="1"/>
  <c r="O13" i="4" s="1"/>
  <c r="N12" i="4"/>
  <c r="O12" i="4" s="1"/>
  <c r="K12" i="4"/>
  <c r="O11" i="4"/>
  <c r="N11" i="4"/>
  <c r="K11" i="4"/>
  <c r="N10" i="4"/>
  <c r="O10" i="4" s="1"/>
  <c r="K10" i="4"/>
  <c r="K9" i="4"/>
  <c r="N8" i="4"/>
  <c r="K8" i="4"/>
  <c r="H66" i="3"/>
  <c r="K61" i="3"/>
  <c r="N61" i="3" s="1"/>
  <c r="O61" i="3" s="1"/>
  <c r="N60" i="3"/>
  <c r="O60" i="3" s="1"/>
  <c r="K60" i="3"/>
  <c r="K59" i="3"/>
  <c r="N59" i="3" s="1"/>
  <c r="O59" i="3" s="1"/>
  <c r="O58" i="3"/>
  <c r="N58" i="3"/>
  <c r="K58" i="3"/>
  <c r="K57" i="3"/>
  <c r="N57" i="3" s="1"/>
  <c r="O57" i="3" s="1"/>
  <c r="N56" i="3"/>
  <c r="O56" i="3" s="1"/>
  <c r="K56" i="3"/>
  <c r="K55" i="3"/>
  <c r="N55" i="3" s="1"/>
  <c r="O55" i="3" s="1"/>
  <c r="O54" i="3"/>
  <c r="N54" i="3"/>
  <c r="K54" i="3"/>
  <c r="K53" i="3"/>
  <c r="I7" i="7" s="1"/>
  <c r="N52" i="3"/>
  <c r="O52" i="3" s="1"/>
  <c r="K52" i="3"/>
  <c r="K51" i="3"/>
  <c r="N51" i="3" s="1"/>
  <c r="O51" i="3" s="1"/>
  <c r="O50" i="3"/>
  <c r="N50" i="3"/>
  <c r="K50" i="3"/>
  <c r="K47" i="3"/>
  <c r="N47" i="3" s="1"/>
  <c r="O47" i="3" s="1"/>
  <c r="N46" i="3"/>
  <c r="O46" i="3" s="1"/>
  <c r="K46" i="3"/>
  <c r="K45" i="3"/>
  <c r="N45" i="3" s="1"/>
  <c r="O45" i="3" s="1"/>
  <c r="O44" i="3"/>
  <c r="N44" i="3"/>
  <c r="K44" i="3"/>
  <c r="K43" i="3"/>
  <c r="N43" i="3" s="1"/>
  <c r="O43" i="3" s="1"/>
  <c r="N42" i="3"/>
  <c r="O42" i="3" s="1"/>
  <c r="K42" i="3"/>
  <c r="K41" i="3"/>
  <c r="N41" i="3" s="1"/>
  <c r="O41" i="3" s="1"/>
  <c r="O40" i="3"/>
  <c r="N40" i="3"/>
  <c r="K40" i="3"/>
  <c r="K39" i="3"/>
  <c r="N39" i="3" s="1"/>
  <c r="O39" i="3" s="1"/>
  <c r="N38" i="3"/>
  <c r="O38" i="3" s="1"/>
  <c r="K38" i="3"/>
  <c r="K37" i="3"/>
  <c r="N37" i="3" s="1"/>
  <c r="O37" i="3" s="1"/>
  <c r="O36" i="3"/>
  <c r="N36" i="3"/>
  <c r="K36" i="3"/>
  <c r="K33" i="3"/>
  <c r="N33" i="3" s="1"/>
  <c r="O33" i="3" s="1"/>
  <c r="N32" i="3"/>
  <c r="O32" i="3" s="1"/>
  <c r="K32" i="3"/>
  <c r="K31" i="3"/>
  <c r="N31" i="3" s="1"/>
  <c r="O31" i="3" s="1"/>
  <c r="O30" i="3"/>
  <c r="N30" i="3"/>
  <c r="K30" i="3"/>
  <c r="K29" i="3"/>
  <c r="N29" i="3" s="1"/>
  <c r="O29" i="3" s="1"/>
  <c r="N28" i="3"/>
  <c r="O28" i="3" s="1"/>
  <c r="K28" i="3"/>
  <c r="K27" i="3"/>
  <c r="N27" i="3" s="1"/>
  <c r="O27" i="3" s="1"/>
  <c r="O26" i="3"/>
  <c r="N26" i="3"/>
  <c r="K26" i="3"/>
  <c r="K25" i="3"/>
  <c r="N25" i="3" s="1"/>
  <c r="O25" i="3" s="1"/>
  <c r="N24" i="3"/>
  <c r="O24" i="3" s="1"/>
  <c r="K24" i="3"/>
  <c r="K23" i="3"/>
  <c r="N23" i="3" s="1"/>
  <c r="O23" i="3" s="1"/>
  <c r="O22" i="3"/>
  <c r="N22" i="3"/>
  <c r="K22" i="3"/>
  <c r="K19" i="3"/>
  <c r="N19" i="3" s="1"/>
  <c r="O19" i="3" s="1"/>
  <c r="N18" i="3"/>
  <c r="O18" i="3" s="1"/>
  <c r="K18" i="3"/>
  <c r="K17" i="3"/>
  <c r="N17" i="3" s="1"/>
  <c r="O17" i="3" s="1"/>
  <c r="O16" i="3"/>
  <c r="N16" i="3"/>
  <c r="K16" i="3"/>
  <c r="K15" i="3"/>
  <c r="N15" i="3" s="1"/>
  <c r="O15" i="3" s="1"/>
  <c r="N14" i="3"/>
  <c r="O14" i="3" s="1"/>
  <c r="K14" i="3"/>
  <c r="K13" i="3"/>
  <c r="N13" i="3" s="1"/>
  <c r="O13" i="3" s="1"/>
  <c r="O12" i="3"/>
  <c r="N12" i="3"/>
  <c r="K12" i="3"/>
  <c r="K11" i="3"/>
  <c r="N11" i="3" s="1"/>
  <c r="O11" i="3" s="1"/>
  <c r="N10" i="3"/>
  <c r="O10" i="3" s="1"/>
  <c r="K10" i="3"/>
  <c r="K9" i="3"/>
  <c r="N9" i="3" s="1"/>
  <c r="O8" i="3"/>
  <c r="N8" i="3"/>
  <c r="K8" i="3"/>
  <c r="H66" i="2"/>
  <c r="K61" i="2"/>
  <c r="N61" i="2" s="1"/>
  <c r="O61" i="2" s="1"/>
  <c r="K60" i="2"/>
  <c r="N60" i="2" s="1"/>
  <c r="O60" i="2" s="1"/>
  <c r="K59" i="2"/>
  <c r="N59" i="2" s="1"/>
  <c r="O59" i="2" s="1"/>
  <c r="N58" i="2"/>
  <c r="O58" i="2" s="1"/>
  <c r="K58" i="2"/>
  <c r="K57" i="2"/>
  <c r="N57" i="2" s="1"/>
  <c r="O57" i="2" s="1"/>
  <c r="K56" i="2"/>
  <c r="N56" i="2" s="1"/>
  <c r="O56" i="2" s="1"/>
  <c r="K55" i="2"/>
  <c r="N55" i="2" s="1"/>
  <c r="O55" i="2" s="1"/>
  <c r="N54" i="2"/>
  <c r="O54" i="2" s="1"/>
  <c r="K54" i="2"/>
  <c r="K53" i="2"/>
  <c r="N53" i="2" s="1"/>
  <c r="O53" i="2" s="1"/>
  <c r="K52" i="2"/>
  <c r="N52" i="2" s="1"/>
  <c r="O52" i="2" s="1"/>
  <c r="K51" i="2"/>
  <c r="N51" i="2" s="1"/>
  <c r="O51" i="2" s="1"/>
  <c r="N50" i="2"/>
  <c r="O50" i="2" s="1"/>
  <c r="K50" i="2"/>
  <c r="K47" i="2"/>
  <c r="N47" i="2" s="1"/>
  <c r="O47" i="2" s="1"/>
  <c r="K46" i="2"/>
  <c r="N46" i="2" s="1"/>
  <c r="O46" i="2" s="1"/>
  <c r="K45" i="2"/>
  <c r="N45" i="2" s="1"/>
  <c r="O45" i="2" s="1"/>
  <c r="N44" i="2"/>
  <c r="O44" i="2" s="1"/>
  <c r="K44" i="2"/>
  <c r="K43" i="2"/>
  <c r="N43" i="2" s="1"/>
  <c r="O43" i="2" s="1"/>
  <c r="K42" i="2"/>
  <c r="N42" i="2" s="1"/>
  <c r="O42" i="2" s="1"/>
  <c r="K41" i="2"/>
  <c r="N41" i="2" s="1"/>
  <c r="O41" i="2" s="1"/>
  <c r="N40" i="2"/>
  <c r="O40" i="2" s="1"/>
  <c r="K40" i="2"/>
  <c r="K39" i="2"/>
  <c r="N39" i="2" s="1"/>
  <c r="O39" i="2" s="1"/>
  <c r="K38" i="2"/>
  <c r="N38" i="2" s="1"/>
  <c r="O38" i="2" s="1"/>
  <c r="K37" i="2"/>
  <c r="N37" i="2" s="1"/>
  <c r="O37" i="2" s="1"/>
  <c r="N36" i="2"/>
  <c r="O36" i="2" s="1"/>
  <c r="K36" i="2"/>
  <c r="K33" i="2"/>
  <c r="N33" i="2" s="1"/>
  <c r="O33" i="2" s="1"/>
  <c r="K32" i="2"/>
  <c r="N32" i="2" s="1"/>
  <c r="O32" i="2" s="1"/>
  <c r="K31" i="2"/>
  <c r="N31" i="2" s="1"/>
  <c r="O31" i="2" s="1"/>
  <c r="N30" i="2"/>
  <c r="O30" i="2" s="1"/>
  <c r="K30" i="2"/>
  <c r="K29" i="2"/>
  <c r="N29" i="2" s="1"/>
  <c r="O29" i="2" s="1"/>
  <c r="K28" i="2"/>
  <c r="N28" i="2" s="1"/>
  <c r="O28" i="2" s="1"/>
  <c r="K27" i="2"/>
  <c r="N27" i="2" s="1"/>
  <c r="O27" i="2" s="1"/>
  <c r="N26" i="2"/>
  <c r="O26" i="2" s="1"/>
  <c r="K26" i="2"/>
  <c r="K25" i="2"/>
  <c r="N25" i="2" s="1"/>
  <c r="O25" i="2" s="1"/>
  <c r="K24" i="2"/>
  <c r="N24" i="2" s="1"/>
  <c r="O24" i="2" s="1"/>
  <c r="K23" i="2"/>
  <c r="N23" i="2" s="1"/>
  <c r="O23" i="2" s="1"/>
  <c r="N22" i="2"/>
  <c r="O22" i="2" s="1"/>
  <c r="K22" i="2"/>
  <c r="K19" i="2"/>
  <c r="N19" i="2" s="1"/>
  <c r="O19" i="2" s="1"/>
  <c r="K18" i="2"/>
  <c r="N18" i="2" s="1"/>
  <c r="O18" i="2" s="1"/>
  <c r="K17" i="2"/>
  <c r="N17" i="2" s="1"/>
  <c r="O17" i="2" s="1"/>
  <c r="N16" i="2"/>
  <c r="O16" i="2" s="1"/>
  <c r="K16" i="2"/>
  <c r="K15" i="2"/>
  <c r="N15" i="2" s="1"/>
  <c r="O15" i="2" s="1"/>
  <c r="K14" i="2"/>
  <c r="N14" i="2" s="1"/>
  <c r="O14" i="2" s="1"/>
  <c r="K13" i="2"/>
  <c r="N13" i="2" s="1"/>
  <c r="O13" i="2" s="1"/>
  <c r="N12" i="2"/>
  <c r="O12" i="2" s="1"/>
  <c r="K12" i="2"/>
  <c r="K11" i="2"/>
  <c r="N11" i="2" s="1"/>
  <c r="O11" i="2" s="1"/>
  <c r="K10" i="2"/>
  <c r="N10" i="2" s="1"/>
  <c r="O10" i="2" s="1"/>
  <c r="K9" i="2"/>
  <c r="N9" i="2" s="1"/>
  <c r="O9" i="2" s="1"/>
  <c r="N8" i="2"/>
  <c r="J66" i="2" s="1"/>
  <c r="K8" i="2"/>
  <c r="C15" i="1"/>
  <c r="C14" i="1"/>
  <c r="C13" i="1"/>
  <c r="C12" i="1"/>
  <c r="C16" i="1" s="1"/>
  <c r="I66" i="3" l="1"/>
  <c r="G12" i="1"/>
  <c r="E12" i="1"/>
  <c r="O9" i="3"/>
  <c r="J66" i="3"/>
  <c r="G15" i="1"/>
  <c r="E15" i="1"/>
  <c r="F15" i="7"/>
  <c r="L7" i="7"/>
  <c r="N9" i="4"/>
  <c r="O9" i="4" s="1"/>
  <c r="N17" i="4"/>
  <c r="O17" i="4" s="1"/>
  <c r="L6" i="7"/>
  <c r="I66" i="5"/>
  <c r="C7" i="7"/>
  <c r="I66" i="2"/>
  <c r="I5" i="7"/>
  <c r="O8" i="2"/>
  <c r="N53" i="3"/>
  <c r="O53" i="3" s="1"/>
  <c r="O8" i="5"/>
  <c r="I15" i="7"/>
  <c r="C13" i="7"/>
  <c r="I66" i="4"/>
  <c r="C5" i="7"/>
  <c r="O8" i="4"/>
  <c r="I13" i="7"/>
  <c r="L5" i="7" l="1"/>
  <c r="F7" i="7"/>
  <c r="K66" i="4"/>
  <c r="C16" i="7" s="1"/>
  <c r="H6" i="1"/>
  <c r="F14" i="1"/>
  <c r="D14" i="1"/>
  <c r="C9" i="7"/>
  <c r="D6" i="7" s="1"/>
  <c r="F5" i="7"/>
  <c r="D12" i="1"/>
  <c r="B6" i="1"/>
  <c r="K66" i="2"/>
  <c r="C8" i="7" s="1"/>
  <c r="F12" i="1"/>
  <c r="G13" i="1"/>
  <c r="E13" i="1"/>
  <c r="J66" i="4"/>
  <c r="L13" i="7"/>
  <c r="D6" i="1"/>
  <c r="F13" i="1"/>
  <c r="K66" i="3"/>
  <c r="I8" i="7" s="1"/>
  <c r="D13" i="1"/>
  <c r="F13" i="7"/>
  <c r="F15" i="1"/>
  <c r="D15" i="1"/>
  <c r="K66" i="5"/>
  <c r="I16" i="7" s="1"/>
  <c r="J6" i="1"/>
  <c r="L15" i="7"/>
  <c r="L16" i="7" l="1"/>
  <c r="F16" i="7"/>
  <c r="D16" i="7"/>
  <c r="D7" i="7"/>
  <c r="G14" i="1"/>
  <c r="E14" i="1"/>
  <c r="E16" i="1" s="1"/>
  <c r="D8" i="7"/>
  <c r="F8" i="7"/>
  <c r="D5" i="7"/>
  <c r="E5" i="7" s="1"/>
  <c r="E6" i="7" s="1"/>
  <c r="E7" i="7" s="1"/>
  <c r="E8" i="7" s="1"/>
  <c r="L8" i="7"/>
  <c r="J8" i="7"/>
  <c r="I17" i="7"/>
  <c r="J16" i="7" s="1"/>
  <c r="C17" i="7"/>
  <c r="D16" i="1"/>
  <c r="F16" i="1" s="1"/>
  <c r="I9" i="7"/>
  <c r="D15" i="7" l="1"/>
  <c r="D14" i="7"/>
  <c r="D13" i="7"/>
  <c r="E13" i="7" s="1"/>
  <c r="E14" i="7" s="1"/>
  <c r="E15" i="7" s="1"/>
  <c r="E16" i="7" s="1"/>
  <c r="J6" i="7"/>
  <c r="J7" i="7"/>
  <c r="J5" i="7"/>
  <c r="K5" i="7" s="1"/>
  <c r="K6" i="7" s="1"/>
  <c r="K7" i="7" s="1"/>
  <c r="K8" i="7" s="1"/>
  <c r="J14" i="7"/>
  <c r="J13" i="7"/>
  <c r="K13" i="7" s="1"/>
  <c r="K14" i="7" s="1"/>
  <c r="J15" i="7"/>
  <c r="K15" i="7" l="1"/>
  <c r="K16" i="7" s="1"/>
</calcChain>
</file>

<file path=xl/sharedStrings.xml><?xml version="1.0" encoding="utf-8"?>
<sst xmlns="http://schemas.openxmlformats.org/spreadsheetml/2006/main" count="1997" uniqueCount="587">
  <si>
    <t>COMPONENT QC INSPECTION — QUALITY DASHBOARD</t>
  </si>
  <si>
    <t>Lab Sensor &amp; Sistem Telekontrol (SSTK)  |  Dept. Teknik Nuklir &amp; Teknik Fisika, UGM  |  4 Praktikum  |  ~80 Mahasiswa/Minggu  |  All values auto-calculated</t>
  </si>
  <si>
    <t>▶  CROSS-PRACTICUM INSPECTION SUMMARY</t>
  </si>
  <si>
    <t>Practikum</t>
  </si>
  <si>
    <t>Total
Inspected</t>
  </si>
  <si>
    <t>Total
PASS</t>
  </si>
  <si>
    <t>Top Defect
Count</t>
  </si>
  <si>
    <t>Elektronika Analog</t>
  </si>
  <si>
    <t>Elektronika Digital</t>
  </si>
  <si>
    <t>Sistem Instrumentasi</t>
  </si>
  <si>
    <t>Jaringan Komunikasi</t>
  </si>
  <si>
    <t>TOTAL ALL PRACTIKUM</t>
  </si>
  <si>
    <t>📋  FORMULA &amp; CALCULATION NOTES — DASHBOARD FORMULA NOTES</t>
  </si>
  <si>
    <t>Column / Field</t>
  </si>
  <si>
    <t>Calculation Logic</t>
  </si>
  <si>
    <t>KPI Cards — Pass Rate</t>
  </si>
  <si>
    <t>[Formula] (relay_pass + switch_pass) / (relay_total + switch_total)</t>
  </si>
  <si>
    <t>AUTO. Pulls PASS and total counts from each practikum sheet's summary row. Updates automatically when new inspection data is added.</t>
  </si>
  <si>
    <t>Summary Table — Pass Rate</t>
  </si>
  <si>
    <t>[Formula] pass_count / total_inspected  per practikum</t>
  </si>
  <si>
    <t>AUTO. Per-practikum pass rate from each inspection log summary. All 4 values feed into the cross-practikum bar chart.</t>
  </si>
  <si>
    <t>Summary Table — Total/PASS/FAIL</t>
  </si>
  <si>
    <t>[Formula] direct reference to practikum sheet summary row</t>
  </si>
  <si>
    <t>AUTO. Values sourced directly from summary formulas in each inspection sheet. No manual input required on this sheet.</t>
  </si>
  <si>
    <t>Bar Chart — Pass Rate by Practikum</t>
  </si>
  <si>
    <t>References Summary Table Col F (Pass Rate)</t>
  </si>
  <si>
    <t>AUTO-updated chart. Bars reflect current pass rates from all 4 practikum inspection logs. Provides at-a-glance comparison of quality across practikum types.</t>
  </si>
  <si>
    <t>ℹ  Dashboard requires zero manual input. All values auto-calculated from the 4 practikum inspection sheets. Refresh Excel or open file to recalculate.</t>
  </si>
  <si>
    <t>PRAKTIKUM ELEKTRONIKA ANALOG — COMPONENT QC INSPECTION LOG</t>
  </si>
  <si>
    <t>Lab Sensor &amp; Sistem Telekontrol (SSTK) | Dept. Teknik Nuklir &amp; Teknik Fisika, UGM | ~20 Mahasiswa/Sesi</t>
  </si>
  <si>
    <t>Test Equipment: Multimeter (Sanwa CD771), LCR Meter, Oscilloscope (GDS-1022), DC Power Supply</t>
  </si>
  <si>
    <t>No.</t>
  </si>
  <si>
    <t>Part Number</t>
  </si>
  <si>
    <t>Component
Description</t>
  </si>
  <si>
    <t>Batch /
Lot No.</t>
  </si>
  <si>
    <t>Inspection
Date</t>
  </si>
  <si>
    <t>Qty</t>
  </si>
  <si>
    <t>Visual
Inspection</t>
  </si>
  <si>
    <t>Spec /
Rated Value</t>
  </si>
  <si>
    <t>Measured
Value</t>
  </si>
  <si>
    <t>Functional
Test 1</t>
  </si>
  <si>
    <t>Test 1
Result</t>
  </si>
  <si>
    <t>Functional
Test 2</t>
  </si>
  <si>
    <t>Test 2
Result</t>
  </si>
  <si>
    <t>Overall
Result</t>
  </si>
  <si>
    <t>Remarks / Disposition</t>
  </si>
  <si>
    <t>⚠  Columns shaded yellow = manual input per inspection session  |  Columns shaded gray = auto-calculated by formula  |  Overall Result = auto (PASS only if ALL tests pass)</t>
  </si>
  <si>
    <t>Inspection Session: Sesi A — Week 1  |  Batch: LOT-A-2024</t>
  </si>
  <si>
    <t>R-10kΩ-CFR</t>
  </si>
  <si>
    <t>Resistor 10kΩ</t>
  </si>
  <si>
    <t>LOT-A-581</t>
  </si>
  <si>
    <t>05-Apr-2026</t>
  </si>
  <si>
    <t>Pass</t>
  </si>
  <si>
    <t>Measured Value</t>
  </si>
  <si>
    <t>Tolerance</t>
  </si>
  <si>
    <t>R-1kΩ-CFR</t>
  </si>
  <si>
    <t>Resistor 1kΩ</t>
  </si>
  <si>
    <t>LOT-A-875</t>
  </si>
  <si>
    <t>C-100µF-EC</t>
  </si>
  <si>
    <t>Capacitor 100µF</t>
  </si>
  <si>
    <t>LOT-A-462</t>
  </si>
  <si>
    <t>Measured Cap</t>
  </si>
  <si>
    <t>ESR Test</t>
  </si>
  <si>
    <t>C-10nF-MLC</t>
  </si>
  <si>
    <t>Capacitor 10nF</t>
  </si>
  <si>
    <t>LOT-A-656</t>
  </si>
  <si>
    <t>D-1N4007</t>
  </si>
  <si>
    <t>Rectifier Diode</t>
  </si>
  <si>
    <t>LOT-A-805</t>
  </si>
  <si>
    <t>06-Apr-2026</t>
  </si>
  <si>
    <t>Vf Measured</t>
  </si>
  <si>
    <t>Continuity</t>
  </si>
  <si>
    <t>D-1N4148</t>
  </si>
  <si>
    <t>Signal Diode</t>
  </si>
  <si>
    <t>LOT-A-644</t>
  </si>
  <si>
    <t>Fail</t>
  </si>
  <si>
    <t>Q-BC547</t>
  </si>
  <si>
    <t>NPN Transistor</t>
  </si>
  <si>
    <t>LOT-A-743</t>
  </si>
  <si>
    <t>hFE Measured</t>
  </si>
  <si>
    <t>Vce_sat</t>
  </si>
  <si>
    <t>Q-BC557</t>
  </si>
  <si>
    <t>PNP Transistor</t>
  </si>
  <si>
    <t>LOT-A-499</t>
  </si>
  <si>
    <t>U-LM741</t>
  </si>
  <si>
    <t>Op-Amp IC</t>
  </si>
  <si>
    <t>LOT-A-424</t>
  </si>
  <si>
    <t>07-Apr-2026</t>
  </si>
  <si>
    <t>VOS Measured</t>
  </si>
  <si>
    <t>Pin Continuity</t>
  </si>
  <si>
    <t>U-LM324</t>
  </si>
  <si>
    <t>Quad Op-Amp IC</t>
  </si>
  <si>
    <t>LOT-A-141</t>
  </si>
  <si>
    <t>U-LM7805</t>
  </si>
  <si>
    <t>Voltage Reg +5V</t>
  </si>
  <si>
    <t>LOT-A-964</t>
  </si>
  <si>
    <t>Vout Measured</t>
  </si>
  <si>
    <t>Load Reg Test</t>
  </si>
  <si>
    <t>POT-10kΩ</t>
  </si>
  <si>
    <t>Potentiometer 10k</t>
  </si>
  <si>
    <t>LOT-A-728</t>
  </si>
  <si>
    <t>Measured R</t>
  </si>
  <si>
    <t>Sweep Test</t>
  </si>
  <si>
    <t>Inspection Session: Sesi B — Week 2  |  Batch: LOT-B-2025</t>
  </si>
  <si>
    <t>LOT-B-341</t>
  </si>
  <si>
    <t>12-Apr-2026</t>
  </si>
  <si>
    <t>LOT-B-709</t>
  </si>
  <si>
    <t>LOT-B-443</t>
  </si>
  <si>
    <t>LOT-B-800</t>
  </si>
  <si>
    <t>LOT-B-694</t>
  </si>
  <si>
    <t>13-Apr-2026</t>
  </si>
  <si>
    <t>LOT-B-254</t>
  </si>
  <si>
    <t>LOT-B-922</t>
  </si>
  <si>
    <t>LOT-B-636</t>
  </si>
  <si>
    <t>LOT-B-408</t>
  </si>
  <si>
    <t>14-Apr-2026</t>
  </si>
  <si>
    <t>LOT-B-639</t>
  </si>
  <si>
    <t>LOT-B-280</t>
  </si>
  <si>
    <t>LOT-B-692</t>
  </si>
  <si>
    <t>Inspection Session: Sesi C — Week 3  |  Batch: LOT-C-2026</t>
  </si>
  <si>
    <t>LOT-C-221</t>
  </si>
  <si>
    <t>19-Apr-2026</t>
  </si>
  <si>
    <t>LOT-C-750</t>
  </si>
  <si>
    <t>LOT-C-599</t>
  </si>
  <si>
    <t>LOT-C-732</t>
  </si>
  <si>
    <t>LOT-C-709</t>
  </si>
  <si>
    <t>20-Apr-2026</t>
  </si>
  <si>
    <t>LOT-C-225</t>
  </si>
  <si>
    <t>LOT-C-693</t>
  </si>
  <si>
    <t>LOT-C-379</t>
  </si>
  <si>
    <t>LOT-C-509</t>
  </si>
  <si>
    <t>21-Apr-2026</t>
  </si>
  <si>
    <t>LOT-C-314</t>
  </si>
  <si>
    <t>LOT-C-566</t>
  </si>
  <si>
    <t>LOT-C-870</t>
  </si>
  <si>
    <t>Inspection Session: Sesi D — Week 4  |  Batch: LOT-D-2027</t>
  </si>
  <si>
    <t>LOT-D-667</t>
  </si>
  <si>
    <t>26-Apr-2026</t>
  </si>
  <si>
    <t>LOT-D-622</t>
  </si>
  <si>
    <t>LOT-D-782</t>
  </si>
  <si>
    <t>LOT-D-169</t>
  </si>
  <si>
    <t>LOT-D-414</t>
  </si>
  <si>
    <t>27-Apr-2026</t>
  </si>
  <si>
    <t>LOT-D-544</t>
  </si>
  <si>
    <t>LOT-D-222</t>
  </si>
  <si>
    <t>LOT-D-155</t>
  </si>
  <si>
    <t>LOT-D-336</t>
  </si>
  <si>
    <t>28-Apr-2026</t>
  </si>
  <si>
    <t>LOT-D-683</t>
  </si>
  <si>
    <t>LOT-D-303</t>
  </si>
  <si>
    <t>SESSION SUMMARY</t>
  </si>
  <si>
    <t>Metric</t>
  </si>
  <si>
    <t>Value</t>
  </si>
  <si>
    <t>Total Records</t>
  </si>
  <si>
    <t>PASS</t>
  </si>
  <si>
    <t>FAIL</t>
  </si>
  <si>
    <t>Pass Rate</t>
  </si>
  <si>
    <t>📋  FORMULA &amp; CALCULATION NOTES — ELEK ANALOG</t>
  </si>
  <si>
    <t>Col K — Test 1 Result</t>
  </si>
  <si>
    <t>[Formula] IF(g="Fail","Fail", IF(ABS(i-h)/h ≤ 10%, "Pass", "Fail")),TRUE())),TRUE())),TRUE())),TRUE()))</t>
  </si>
  <si>
    <t>AUTO. Fails if Visual (G) already failed. Otherwise, passes only if measured value (I) is within ±10% of the rated spec (H). Tolerance 10% covers standard component variability.</t>
  </si>
  <si>
    <t>Col N — Overall Result</t>
  </si>
  <si>
    <t>[Formula] IF(AND(g="Pass", k="Pass", m="Pass"), "PASS", "FAIL")</t>
  </si>
  <si>
    <t>AUTO. Component passes only if ALL three tests pass: Visual (G), Test 1 (K), and Test 2 (M). Any single failure triggers FAIL — consistent with incoming inspection standards.</t>
  </si>
  <si>
    <t>Col O — Remarks / Disposition</t>
  </si>
  <si>
    <t>[Formula] IF(n="PASS", "Release to practicum", "Quarantine — do not issue")</t>
  </si>
  <si>
    <t>AUTO. Directly derived from Overall Result. PASS components are cleared for student use. FAIL components are quarantined and tracked in the Defect Log sheet.</t>
  </si>
  <si>
    <t>Col G — Visual Inspection</t>
  </si>
  <si>
    <t>[MANUAL INPUT: Pass / Fail]</t>
  </si>
  <si>
    <t>Inspector physically checks component body, pin integrity, marking, and housing. Recorded as Pass or Fail. Basis for all downstream formula calculations.</t>
  </si>
  <si>
    <t>Col H — Spec / Rated Value</t>
  </si>
  <si>
    <t>[MANUAL INPUT: numeric]</t>
  </si>
  <si>
    <t>Rated value from component datasheet or procurement spec (e.g., 10kΩ, 100µF, 70Ω coil). Used as reference denominator in Test 1 Result formula.</t>
  </si>
  <si>
    <t>Col I — Measured Value</t>
  </si>
  <si>
    <t>Actual measured value from test instrument (multimeter, LCR meter, oscilloscope). Compared against Col H in the Test 1 Result formula.</t>
  </si>
  <si>
    <t>Col M — Test 2 Result</t>
  </si>
  <si>
    <t>Result of functional test (e.g., logic function, switching response, communication test). Must be observed directly — cannot be calculated from a single measurement.</t>
  </si>
  <si>
    <t>ℹ  Test instruments used: Multimeter (Sanwa CD771), LCR Meter, Oscilloscope (GDS-1022), DC Power Supply (HY3005F), Function Generator. Tolerance threshold ±10% aligned with IEC 60068 incoming inspection practices.</t>
  </si>
  <si>
    <t>PRAKTIKUM ELEKTRONIKA DIGITAL — COMPONENT QC INSPECTION LOG</t>
  </si>
  <si>
    <t>Test Equipment: Multimeter (Sanwa CD771), Digital Logic Probe, DC Power Supply (HY3005F), Function Generator</t>
  </si>
  <si>
    <t>IC-74LS00</t>
  </si>
  <si>
    <t>NAND Gate (Quad)</t>
  </si>
  <si>
    <t>LOT-A-949</t>
  </si>
  <si>
    <t>VCC Test</t>
  </si>
  <si>
    <t>Logic Function Test</t>
  </si>
  <si>
    <t>IC-74LS08</t>
  </si>
  <si>
    <t>AND Gate (Quad)</t>
  </si>
  <si>
    <t>LOT-A-934</t>
  </si>
  <si>
    <t>IC-74LS86</t>
  </si>
  <si>
    <t>XOR Gate (Quad)</t>
  </si>
  <si>
    <t>LOT-A-507</t>
  </si>
  <si>
    <t>IC-74LS74</t>
  </si>
  <si>
    <t>D Flip-Flop</t>
  </si>
  <si>
    <t>LOT-A-942</t>
  </si>
  <si>
    <t>Toggle Test</t>
  </si>
  <si>
    <t>IC-74LS163</t>
  </si>
  <si>
    <t>4-bit Counter</t>
  </si>
  <si>
    <t>LOT-A-686</t>
  </si>
  <si>
    <t>Count Sequence Test</t>
  </si>
  <si>
    <t>IC-555</t>
  </si>
  <si>
    <t>Timer IC</t>
  </si>
  <si>
    <t>LOT-A-579</t>
  </si>
  <si>
    <t>Oscillation Test</t>
  </si>
  <si>
    <t>RLY-G2R-DC5</t>
  </si>
  <si>
    <t>Relay SPDT 5VDC</t>
  </si>
  <si>
    <t>LOT-A-369</t>
  </si>
  <si>
    <t>Coil R Meas</t>
  </si>
  <si>
    <t>Switching Test</t>
  </si>
  <si>
    <t>RLY-SRD-12V</t>
  </si>
  <si>
    <t>Relay SPDT 12VDC</t>
  </si>
  <si>
    <t>LOT-A-882</t>
  </si>
  <si>
    <t>SW-TACT-6mm</t>
  </si>
  <si>
    <t>Tactile Switch</t>
  </si>
  <si>
    <t>LOT-A-353</t>
  </si>
  <si>
    <t>Contact R</t>
  </si>
  <si>
    <t>Continuity Test</t>
  </si>
  <si>
    <t>SW-SLIDE</t>
  </si>
  <si>
    <t>Slide Switch SPDT</t>
  </si>
  <si>
    <t>LOT-A-591</t>
  </si>
  <si>
    <t>LED-RED-5mm</t>
  </si>
  <si>
    <t>LED Red 5mm</t>
  </si>
  <si>
    <t>LOT-A-811</t>
  </si>
  <si>
    <t>Vf Meas</t>
  </si>
  <si>
    <t>Brightness Check</t>
  </si>
  <si>
    <t>LED-GRN-5mm</t>
  </si>
  <si>
    <t>LED Green 5mm</t>
  </si>
  <si>
    <t>LOT-A-726</t>
  </si>
  <si>
    <t>LOT-B-876</t>
  </si>
  <si>
    <t>LOT-B-786</t>
  </si>
  <si>
    <t>LOT-B-271</t>
  </si>
  <si>
    <t>LOT-B-227</t>
  </si>
  <si>
    <t>LOT-B-328</t>
  </si>
  <si>
    <t>LOT-B-936</t>
  </si>
  <si>
    <t>LOT-B-446</t>
  </si>
  <si>
    <t>LOT-B-120</t>
  </si>
  <si>
    <t>LOT-B-618</t>
  </si>
  <si>
    <t>LOT-B-819</t>
  </si>
  <si>
    <t>LOT-B-791</t>
  </si>
  <si>
    <t>LOT-B-533</t>
  </si>
  <si>
    <t>LOT-C-572</t>
  </si>
  <si>
    <t>LOT-C-665</t>
  </si>
  <si>
    <t>LOT-C-766</t>
  </si>
  <si>
    <t>LOT-C-261</t>
  </si>
  <si>
    <t>LOT-C-301</t>
  </si>
  <si>
    <t>LOT-C-852</t>
  </si>
  <si>
    <t>LOT-C-825</t>
  </si>
  <si>
    <t>LOT-C-639</t>
  </si>
  <si>
    <t>LOT-C-771</t>
  </si>
  <si>
    <t>LOT-C-793</t>
  </si>
  <si>
    <t>LOT-C-416</t>
  </si>
  <si>
    <t>LOT-C-737</t>
  </si>
  <si>
    <t>LOT-D-154</t>
  </si>
  <si>
    <t>LOT-D-291</t>
  </si>
  <si>
    <t>LOT-D-202</t>
  </si>
  <si>
    <t>LOT-D-304</t>
  </si>
  <si>
    <t>LOT-D-868</t>
  </si>
  <si>
    <t>LOT-D-435</t>
  </si>
  <si>
    <t>LOT-D-832</t>
  </si>
  <si>
    <t>LOT-D-620</t>
  </si>
  <si>
    <t>LOT-D-608</t>
  </si>
  <si>
    <t>LOT-D-960</t>
  </si>
  <si>
    <t>LOT-D-926</t>
  </si>
  <si>
    <t>LOT-D-171</t>
  </si>
  <si>
    <t>📋  FORMULA &amp; CALCULATION NOTES — ELEK DIGITAL</t>
  </si>
  <si>
    <t>PRAKTIKUM SISTEM INSTRUMENTASI — COMPONENT QC INSPECTION LOG</t>
  </si>
  <si>
    <t>Test Equipment: Multimeter (Sanwa CD771), DC Power Supply, Oscilloscope (GDS-1022), Arduino Uno (test harness), Serial Monitor</t>
  </si>
  <si>
    <t>SEN-LM35</t>
  </si>
  <si>
    <t>Temp Sensor LM35</t>
  </si>
  <si>
    <t>LOT-A-980</t>
  </si>
  <si>
    <t>Output @25°C</t>
  </si>
  <si>
    <t>Linearity Test</t>
  </si>
  <si>
    <t>SEN-DS18B20</t>
  </si>
  <si>
    <t>1-Wire Temp Sensor</t>
  </si>
  <si>
    <t>LOT-A-758</t>
  </si>
  <si>
    <t>Measured Err</t>
  </si>
  <si>
    <t>Communication Test</t>
  </si>
  <si>
    <t>SEN-BMP180</t>
  </si>
  <si>
    <t>Pressure Sensor</t>
  </si>
  <si>
    <t>LOT-A-214</t>
  </si>
  <si>
    <t>I2C Comm Test</t>
  </si>
  <si>
    <t>SEN-LDR</t>
  </si>
  <si>
    <t>LDR Photo Sensor</t>
  </si>
  <si>
    <t>LOT-A-267</t>
  </si>
  <si>
    <t>Dark R Meas</t>
  </si>
  <si>
    <t>Light Response Test</t>
  </si>
  <si>
    <t>SEN-PIR-HC</t>
  </si>
  <si>
    <t>PIR Motion Sensor</t>
  </si>
  <si>
    <t>LOT-A-161</t>
  </si>
  <si>
    <t>Trigger Test</t>
  </si>
  <si>
    <t>Detection Range</t>
  </si>
  <si>
    <t>SEN-US-HC04</t>
  </si>
  <si>
    <t>Ultrasonic HC-SR04</t>
  </si>
  <si>
    <t>LOT-A-898</t>
  </si>
  <si>
    <t>Accuracy</t>
  </si>
  <si>
    <t>Echo Response Test</t>
  </si>
  <si>
    <t>MOD-ESP32</t>
  </si>
  <si>
    <t>ESP32 MCU Module</t>
  </si>
  <si>
    <t>LOT-A-937</t>
  </si>
  <si>
    <t>Boot Test</t>
  </si>
  <si>
    <t>GPIO Continuity</t>
  </si>
  <si>
    <t>MOD-ADS1115</t>
  </si>
  <si>
    <t>ADC Module 16-bit</t>
  </si>
  <si>
    <t>LOT-A-210</t>
  </si>
  <si>
    <t>Conversion Test</t>
  </si>
  <si>
    <t>MOD-4-20mA</t>
  </si>
  <si>
    <t>4-20mA Transmitter</t>
  </si>
  <si>
    <t>LOT-A-556</t>
  </si>
  <si>
    <t>Zero @4mA</t>
  </si>
  <si>
    <t>Span @20mA</t>
  </si>
  <si>
    <t>XDCR-K-TC</t>
  </si>
  <si>
    <t>K-Type Thermocouple</t>
  </si>
  <si>
    <t>LOT-A-881</t>
  </si>
  <si>
    <t>Insulation Test</t>
  </si>
  <si>
    <t>XDCR-PT100</t>
  </si>
  <si>
    <t>RTD PT100</t>
  </si>
  <si>
    <t>LOT-A-475</t>
  </si>
  <si>
    <t>Measured R @RT</t>
  </si>
  <si>
    <t>MOD-OLED</t>
  </si>
  <si>
    <t>OLED Display 0.96"</t>
  </si>
  <si>
    <t>LOT-A-570</t>
  </si>
  <si>
    <t>Boot Display Test</t>
  </si>
  <si>
    <t>LOT-B-940</t>
  </si>
  <si>
    <t>LOT-B-336</t>
  </si>
  <si>
    <t>LOT-B-888</t>
  </si>
  <si>
    <t>LOT-B-943</t>
  </si>
  <si>
    <t>LOT-B-348</t>
  </si>
  <si>
    <t>LOT-B-382</t>
  </si>
  <si>
    <t>LOT-B-508</t>
  </si>
  <si>
    <t>LOT-B-845</t>
  </si>
  <si>
    <t>LOT-B-746</t>
  </si>
  <si>
    <t>LOT-B-228</t>
  </si>
  <si>
    <t>LOT-B-576</t>
  </si>
  <si>
    <t>LOT-B-598</t>
  </si>
  <si>
    <t>LOT-C-960</t>
  </si>
  <si>
    <t>LOT-C-127</t>
  </si>
  <si>
    <t>LOT-C-861</t>
  </si>
  <si>
    <t>LOT-C-336</t>
  </si>
  <si>
    <t>LOT-C-453</t>
  </si>
  <si>
    <t>LOT-C-445</t>
  </si>
  <si>
    <t>LOT-C-308</t>
  </si>
  <si>
    <t>LOT-C-249</t>
  </si>
  <si>
    <t>LOT-C-902</t>
  </si>
  <si>
    <t>LOT-C-706</t>
  </si>
  <si>
    <t>LOT-C-260</t>
  </si>
  <si>
    <t>LOT-C-418</t>
  </si>
  <si>
    <t>LOT-D-603</t>
  </si>
  <si>
    <t>LOT-D-180</t>
  </si>
  <si>
    <t>LOT-D-272</t>
  </si>
  <si>
    <t>LOT-D-706</t>
  </si>
  <si>
    <t>LOT-D-973</t>
  </si>
  <si>
    <t>LOT-D-976</t>
  </si>
  <si>
    <t>LOT-D-588</t>
  </si>
  <si>
    <t>LOT-D-496</t>
  </si>
  <si>
    <t>LOT-D-479</t>
  </si>
  <si>
    <t>LOT-D-252</t>
  </si>
  <si>
    <t>LOT-D-789</t>
  </si>
  <si>
    <t>LOT-D-507</t>
  </si>
  <si>
    <t>📋  FORMULA &amp; CALCULATION NOTES — SISTEM INSTR</t>
  </si>
  <si>
    <t>PRAKTIKUM JARINGAN KOMUNIKASI — COMPONENT QC INSPECTION LOG</t>
  </si>
  <si>
    <t>Test Equipment: Multimeter (Sanwa CD771), DC Power Supply, Spectrum Analyzer (basic), Serial Terminal (Arduino IDE), Oscilloscope</t>
  </si>
  <si>
    <t>MOD-NRF24L01</t>
  </si>
  <si>
    <t>RF Module 2.4GHz</t>
  </si>
  <si>
    <t>LOT-A-785</t>
  </si>
  <si>
    <t>Power Test</t>
  </si>
  <si>
    <t>TX/RX Comm Test</t>
  </si>
  <si>
    <t>MOD-HC-05</t>
  </si>
  <si>
    <t>Bluetooth Module</t>
  </si>
  <si>
    <t>LOT-A-407</t>
  </si>
  <si>
    <t>AT Cmd Response</t>
  </si>
  <si>
    <t>Pairing Test</t>
  </si>
  <si>
    <t>MOD-SIM800L</t>
  </si>
  <si>
    <t>GSM/GPRS Module</t>
  </si>
  <si>
    <t>LOT-A-608</t>
  </si>
  <si>
    <t>SIM Card Detection</t>
  </si>
  <si>
    <t>MOD-LORA32</t>
  </si>
  <si>
    <t>LoRa Module 433MHz</t>
  </si>
  <si>
    <t>LOT-A-761</t>
  </si>
  <si>
    <t>TX Power</t>
  </si>
  <si>
    <t>RX Sensitivity</t>
  </si>
  <si>
    <t>MOD-MAX485</t>
  </si>
  <si>
    <t>RS-485 Transceiver</t>
  </si>
  <si>
    <t>LOT-A-742</t>
  </si>
  <si>
    <t>Tx/Rx Enable Test</t>
  </si>
  <si>
    <t>MOD-MCP2515</t>
  </si>
  <si>
    <t>CAN Bus Controller</t>
  </si>
  <si>
    <t>LOT-A-604</t>
  </si>
  <si>
    <t>SPI Comm Test</t>
  </si>
  <si>
    <t>CAN Frame Test</t>
  </si>
  <si>
    <t>CON-RJ45</t>
  </si>
  <si>
    <t>RJ45 Connector Cat5e</t>
  </si>
  <si>
    <t>LOT-A-748</t>
  </si>
  <si>
    <t>Crimp Quality</t>
  </si>
  <si>
    <t>CBL-USB-A</t>
  </si>
  <si>
    <t>USB-A to USB-B 1m</t>
  </si>
  <si>
    <t>LOT-A-763</t>
  </si>
  <si>
    <t>Data Transfer Test</t>
  </si>
  <si>
    <t>REL-G5V-DC5</t>
  </si>
  <si>
    <t>Signal Relay 5VDC</t>
  </si>
  <si>
    <t>LOT-A-421</t>
  </si>
  <si>
    <t>ANT-2.4G</t>
  </si>
  <si>
    <t>2.4GHz PCB Antenna</t>
  </si>
  <si>
    <t>LOT-A-938</t>
  </si>
  <si>
    <t>Connector Check</t>
  </si>
  <si>
    <t>Return Loss Test</t>
  </si>
  <si>
    <t>TB-2P-5MM</t>
  </si>
  <si>
    <t>Terminal Block 2P</t>
  </si>
  <si>
    <t>LOT-A-609</t>
  </si>
  <si>
    <t>Screw Torque Test</t>
  </si>
  <si>
    <t>TB-3P-5MM</t>
  </si>
  <si>
    <t>Terminal Block 3P</t>
  </si>
  <si>
    <t>LOT-A-483</t>
  </si>
  <si>
    <t>LOT-B-714</t>
  </si>
  <si>
    <t>LOT-B-774</t>
  </si>
  <si>
    <t>LOT-B-592</t>
  </si>
  <si>
    <t>LOT-B-385</t>
  </si>
  <si>
    <t>LOT-B-993</t>
  </si>
  <si>
    <t>LOT-B-285</t>
  </si>
  <si>
    <t>LOT-B-200</t>
  </si>
  <si>
    <t>LOT-B-892</t>
  </si>
  <si>
    <t>LOT-B-883</t>
  </si>
  <si>
    <t>LOT-B-684</t>
  </si>
  <si>
    <t>LOT-B-185</t>
  </si>
  <si>
    <t>LOT-B-776</t>
  </si>
  <si>
    <t>LOT-C-616</t>
  </si>
  <si>
    <t>LOT-C-591</t>
  </si>
  <si>
    <t>LOT-C-293</t>
  </si>
  <si>
    <t>LOT-C-306</t>
  </si>
  <si>
    <t>LOT-C-503</t>
  </si>
  <si>
    <t>LOT-C-677</t>
  </si>
  <si>
    <t>LOT-C-393</t>
  </si>
  <si>
    <t>LOT-C-548</t>
  </si>
  <si>
    <t>LOT-C-729</t>
  </si>
  <si>
    <t>LOT-C-982</t>
  </si>
  <si>
    <t>LOT-C-206</t>
  </si>
  <si>
    <t>LOT-C-347</t>
  </si>
  <si>
    <t>LOT-D-363</t>
  </si>
  <si>
    <t>LOT-D-710</t>
  </si>
  <si>
    <t>LOT-D-611</t>
  </si>
  <si>
    <t>LOT-D-996</t>
  </si>
  <si>
    <t>LOT-D-821</t>
  </si>
  <si>
    <t>LOT-D-510</t>
  </si>
  <si>
    <t>LOT-D-876</t>
  </si>
  <si>
    <t>LOT-D-858</t>
  </si>
  <si>
    <t>LOT-D-453</t>
  </si>
  <si>
    <t>LOT-D-591</t>
  </si>
  <si>
    <t>LOT-D-456</t>
  </si>
  <si>
    <t>LOT-D-205</t>
  </si>
  <si>
    <t>📋  FORMULA &amp; CALCULATION NOTES — JAR KOMUNIKASI</t>
  </si>
  <si>
    <t>COMPONENT DEFECT LOG — ALL PRACTIKUM</t>
  </si>
  <si>
    <t>All FAIL records consolidated here. Input manually when Overall Result = FAIL. Disposition, root cause, and corrective action tracked per defect.</t>
  </si>
  <si>
    <t>Date</t>
  </si>
  <si>
    <t>Component</t>
  </si>
  <si>
    <t>Defect Type</t>
  </si>
  <si>
    <t>Failed Test</t>
  </si>
  <si>
    <t>Root Cause Analysis</t>
  </si>
  <si>
    <t>Corrective Action</t>
  </si>
  <si>
    <t>PIC</t>
  </si>
  <si>
    <t>Status</t>
  </si>
  <si>
    <t>Disposition</t>
  </si>
  <si>
    <t>22-Apr-25</t>
  </si>
  <si>
    <t>Elek Analog</t>
  </si>
  <si>
    <t>Measured value OOSpec</t>
  </si>
  <si>
    <t>Tolerance Test</t>
  </si>
  <si>
    <t>Tolerance drift &gt;5% — possible aged batch</t>
  </si>
  <si>
    <t>Return to procurement; replace with new batch</t>
  </si>
  <si>
    <t>Lab Staff</t>
  </si>
  <si>
    <t>Closed</t>
  </si>
  <si>
    <t>Quarantine — returned</t>
  </si>
  <si>
    <t>23-Apr-25</t>
  </si>
  <si>
    <t>NAND Gate IC</t>
  </si>
  <si>
    <t>Elek Digital</t>
  </si>
  <si>
    <t>Logic function failure</t>
  </si>
  <si>
    <t>IC damaged — likely ESD during storage</t>
  </si>
  <si>
    <t>Update anti-static storage SOP; reorder replacement</t>
  </si>
  <si>
    <t>Quarantine — disposed</t>
  </si>
  <si>
    <t>24-Apr-25</t>
  </si>
  <si>
    <t>Sistem Instr</t>
  </si>
  <si>
    <t>Output deviation &gt;10%</t>
  </si>
  <si>
    <t>Output @25°C Test</t>
  </si>
  <si>
    <t>Bent VCC pin — physical damage pre-inspection</t>
  </si>
  <si>
    <t>Inspect all LM35 units for pin integrity before issuing</t>
  </si>
  <si>
    <t>25-Apr-25</t>
  </si>
  <si>
    <t>Jar Komunikasi</t>
  </si>
  <si>
    <t>No AT command response</t>
  </si>
  <si>
    <t>Firmware corrupted — likely improper power-down</t>
  </si>
  <si>
    <t>Re-flash firmware; add power-down SOP to module handling</t>
  </si>
  <si>
    <t>In Progress</t>
  </si>
  <si>
    <t>Hold — pending re-flash</t>
  </si>
  <si>
    <t>28-Apr-25</t>
  </si>
  <si>
    <t>Relay SPDT 5V</t>
  </si>
  <si>
    <t>Coil resistance OOSpec</t>
  </si>
  <si>
    <t>Manufacturing variation — coil R 78Ω vs 70Ω spec</t>
  </si>
  <si>
    <t>Issue CCAR to supplier; update incoming spec tolerance</t>
  </si>
  <si>
    <t>Open</t>
  </si>
  <si>
    <t>Quarantine — return to vendor</t>
  </si>
  <si>
    <t>29-Apr-25</t>
  </si>
  <si>
    <t>ESR too high</t>
  </si>
  <si>
    <t>Electrolyte dry-out — old batch past shelf life</t>
  </si>
  <si>
    <t>Check batch date on all capacitors; replace if &gt;2yr old</t>
  </si>
  <si>
    <t>30-Apr-25</t>
  </si>
  <si>
    <t>SEN-HC-SR04</t>
  </si>
  <si>
    <t>Ultrasonic Sensor</t>
  </si>
  <si>
    <t>Echo response failure</t>
  </si>
  <si>
    <t>Transducer membrane damaged — physical impact</t>
  </si>
  <si>
    <t>Improve storage packaging; add visual inspection step</t>
  </si>
  <si>
    <t>01-May-25</t>
  </si>
  <si>
    <t>Contact resistance high</t>
  </si>
  <si>
    <t>Oxidized contacts — storage humidity exposure</t>
  </si>
  <si>
    <t>Store switches in sealed anti-humidity bags</t>
  </si>
  <si>
    <t>Quarantine — pending cleaning</t>
  </si>
  <si>
    <t>DEFECT SUMMARY</t>
  </si>
  <si>
    <t>Total Defects</t>
  </si>
  <si>
    <t>Closure Rate</t>
  </si>
  <si>
    <t>DEFECT ANALYSIS — PARETO &amp; MONTHLY TREND  |  Lab SSTK UGM</t>
  </si>
  <si>
    <t>All defect counts are formula-driven from inspection log sheets  |  Monthly trend: input columns B,C,D,E,F,I only — rest auto-calculated</t>
  </si>
  <si>
    <t>Pareto: ELEKTRONIKA ANALOG</t>
  </si>
  <si>
    <t>Pareto: ELEKTRONIKA DIGITAL</t>
  </si>
  <si>
    <t>Defect Category</t>
  </si>
  <si>
    <t>Count</t>
  </si>
  <si>
    <t>% of Total</t>
  </si>
  <si>
    <t>Cumulative %</t>
  </si>
  <si>
    <t>Signal</t>
  </si>
  <si>
    <t>Measured Value OOSpec</t>
  </si>
  <si>
    <t>Visual Defect</t>
  </si>
  <si>
    <t>Functional Test 2 Fail</t>
  </si>
  <si>
    <t>Both Tests Fail</t>
  </si>
  <si>
    <t>TOTAL</t>
  </si>
  <si>
    <t>Pareto: SISTEM INSTRUMENTASI</t>
  </si>
  <si>
    <t>Pareto: JARINGAN KOMUNIKASI</t>
  </si>
  <si>
    <t>Sensor Output OOSpec</t>
  </si>
  <si>
    <t>Module Comm Failure</t>
  </si>
  <si>
    <t>Visual / Physical Defect</t>
  </si>
  <si>
    <t>Comm Test Fail</t>
  </si>
  <si>
    <t>Secondary Test Fail</t>
  </si>
  <si>
    <t>Monthly Defect Rate Trend — Lab SSTK (All Practikum Combined)</t>
  </si>
  <si>
    <t>Input B,C,D,E,F,I only.  G=Total Defects(=D+E+F),  H=Defect Rate(=G/C),  J=Status(auto)</t>
  </si>
  <si>
    <t>Month [INPUT]</t>
  </si>
  <si>
    <t>Total Inspected [INPUT]</t>
  </si>
  <si>
    <t>Electronic Defects [INPUT]</t>
  </si>
  <si>
    <t>Sensor/Comm Defects [INPUT]</t>
  </si>
  <si>
    <t>Visual Defects [INPUT]</t>
  </si>
  <si>
    <t>Total Defects [=D+E+F]</t>
  </si>
  <si>
    <t>Defect Rate [=G/C]</t>
  </si>
  <si>
    <t>Target Rate [INPUT]</t>
  </si>
  <si>
    <t>Status [AUTO]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</si>
  <si>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</si>
  <si>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</si>
  <si>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</si>
  <si>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</si>
  <si>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</si>
  <si>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</si>
  <si>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</si>
  <si>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</si>
  <si>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</si>
  <si>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</si>
  <si>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</si>
  <si>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</si>
  <si>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TOTAL/AVG</t>
  </si>
  <si>
    <t>📋  FORMULA &amp; CALCULATION NOTES — PARETO DEFECT CATEGORIES</t>
  </si>
  <si>
    <t>Count (Pareto table)</t>
  </si>
  <si>
    <t>[Formula] COUNTIFS(sheet!g:g,"Pass", sheet!k:k,"Fail")</t>
  </si>
  <si>
    <t>AUTO. Counts rows where Visual passed but Test 1 failed — isolating measurement OOSpec defects. Each defect category uses a different COUNTIFS combination across the inspection log sheet.</t>
  </si>
  <si>
    <t>AUTO. Defect count for this category divided by total defects for that practikum. Expressed as percentage. Shows relative weight of each defect type — Pareto principle.</t>
  </si>
  <si>
    <t>[Formula] previous_row_cumulative + this_row_%</t>
  </si>
  <si>
    <t>AUTO. Running sum of percentages from top to bottom. When cumulative % reaches 80%, the categories above it are the 'vital few' — prioritised for corrective action per Pareto analysis.</t>
  </si>
  <si>
    <t>Signal Column</t>
  </si>
  <si>
    <t>[Formula] IF(count=0,"—", IF(count&gt;2,"▲ High","● Normal"))</t>
  </si>
  <si>
    <t>AUTO. Quick visual flag. ▲ High = more than 2 defects of this type (requires investigation). ● Normal = 1-2 defects (monitor). — = no defect recorded.</t>
  </si>
  <si>
    <t>ℹ  Pareto counts reference live inspection data in the 4 practikum sheets. Adding new inspection records automatically updates all pareto counts.</t>
  </si>
  <si>
    <t>📋  FORMULA &amp; CALCULATION NOTES — MONTHLY TREND CALCULATIONS</t>
  </si>
  <si>
    <t>Col G — Total Defects</t>
  </si>
  <si>
    <t>[Formula] d + e + f</t>
  </si>
  <si>
    <t>AUTO. Sum of Electronic Defects (D) + Sensor/Comm Defects (E) + Visual Defects (F). Three input categories chosen to align with lab's 4 practikum domains.</t>
  </si>
  <si>
    <t>Col H — Defect Rate</t>
  </si>
  <si>
    <t>[Formula] g / c  (total defects / total inspected)</t>
  </si>
  <si>
    <t>AUTO. Overall defect rate for the month. Expressed as percentage. Key KPI tracked against target. If H &gt; I (target), Status turns red automatically.</t>
  </si>
  <si>
    <t>Col J — Status</t>
  </si>
  <si>
    <t>[Formula] IF(h ≤ I, "On Target", "Above Target"),TRUE()),TRUE()),TRUE()),TRUE())</t>
  </si>
  <si>
    <t>AUTO. Green 'On Target' if defect rate meets or beats the monthly target. Red 'Above Target' triggers review of that month's inspection records.</t>
  </si>
  <si>
    <t>Cols B,C,D,E,F,I</t>
  </si>
  <si>
    <t>[MANUAL INPUT per month]</t>
  </si>
  <si>
    <t>Month label, total components inspected, defect counts by category, and target rate are entered manually — typically compiled from the 4 inspection log sheets at month-end.</t>
  </si>
  <si>
    <t>ℹ  Monthly trend data is compiled manually from inspection logs at end of each month. Target rate 5.0% aligned with lab quality improvement programme benchmark.</t>
  </si>
  <si>
    <t>Pass Rate Elektronika Analog</t>
  </si>
  <si>
    <t>Pass Rate Elektronika Digital</t>
  </si>
  <si>
    <t>Pass Rate Sistem Instrumentasi</t>
  </si>
  <si>
    <t>Pass Rate Jaringan Komunikasi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</si>
</sst>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7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sz val="9"/>
      <color rgb="FF595959"/>
      <name val="Arial"/>
      <charset val="1"/>
    </font>
    <font>
      <b/>
      <sz val="9"/>
      <color rgb="FFFFFFFF"/>
      <name val="Arial"/>
      <charset val="1"/>
    </font>
    <font>
      <b/>
      <sz val="22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8"/>
      <color rgb="FFFFFFFF"/>
      <name val="Arial"/>
      <charset val="1"/>
    </font>
    <font>
      <b/>
      <sz val="8"/>
      <color rgb="FF000000"/>
      <name val="Arial"/>
      <charset val="1"/>
    </font>
    <font>
      <b/>
      <sz val="8"/>
      <color rgb="FF9C0006"/>
      <name val="Courier New"/>
      <charset val="1"/>
    </font>
    <font>
      <sz val="8"/>
      <color rgb="FF595959"/>
      <name val="Arial"/>
      <charset val="1"/>
    </font>
    <font>
      <b/>
      <sz val="9"/>
      <color rgb="FF375623"/>
      <name val="Arial"/>
      <charset val="1"/>
    </font>
    <font>
      <b/>
      <sz val="9"/>
      <color rgb="FF7F6000"/>
      <name val="Arial"/>
      <charset val="1"/>
    </font>
    <font>
      <b/>
      <sz val="9"/>
      <color rgb="FF9C0006"/>
      <name val="Arial"/>
      <charset val="1"/>
    </font>
    <font>
      <b/>
      <sz val="11"/>
      <color rgb="FFFFFFFF"/>
      <name val="Arial"/>
      <charset val="1"/>
    </font>
    <font>
      <b/>
      <sz val="8"/>
      <color rgb="FF9C0006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878787"/>
      </patternFill>
    </fill>
    <fill>
      <patternFill patternType="solid">
        <fgColor rgb="FF7030A0"/>
        <bgColor rgb="FF993366"/>
      </patternFill>
    </fill>
    <fill>
      <patternFill patternType="solid">
        <fgColor rgb="FFE2EFDA"/>
        <bgColor rgb="FFF2F2F2"/>
      </patternFill>
    </fill>
    <fill>
      <patternFill patternType="solid">
        <fgColor rgb="FFFFCCCC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9C0006"/>
        <bgColor rgb="FF800000"/>
      </patternFill>
    </fill>
    <fill>
      <patternFill patternType="solid">
        <fgColor rgb="FFFFD966"/>
        <bgColor rgb="FFFFCC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/>
    <xf numFmtId="0" fontId="8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9" fontId="4" fillId="6" borderId="1" xfId="0" applyNumberFormat="1" applyFont="1" applyFill="1" applyBorder="1" applyAlignment="1">
      <alignment horizontal="center" vertical="center" wrapText="1"/>
    </xf>
    <xf numFmtId="9" fontId="4" fillId="5" borderId="1" xfId="0" applyNumberFormat="1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 wrapText="1"/>
    </xf>
    <xf numFmtId="1" fontId="6" fillId="8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164" fontId="7" fillId="9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6" fillId="10" borderId="1" xfId="0" applyNumberFormat="1" applyFont="1" applyFill="1" applyBorder="1" applyAlignment="1">
      <alignment horizontal="center" vertical="center" wrapText="1"/>
    </xf>
    <xf numFmtId="164" fontId="6" fillId="10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164" fontId="7" fillId="10" borderId="1" xfId="0" applyNumberFormat="1" applyFont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164" fontId="6" fillId="12" borderId="1" xfId="0" applyNumberFormat="1" applyFont="1" applyFill="1" applyBorder="1" applyAlignment="1">
      <alignment horizontal="center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11" fillId="1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11" fillId="1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1" fillId="1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12" borderId="0" xfId="0" applyFont="1" applyFill="1" applyAlignment="1">
      <alignment horizontal="center" vertical="center" wrapText="1"/>
    </xf>
  </cellXfs>
  <cellStyles count="1">
    <cellStyle name="Normal" xfId="0" builtinId="0"/>
  </cellStyles>
  <dxfs count="34">
    <dxf>
      <font>
        <b/>
        <sz val="9"/>
        <color rgb="FF9C0006"/>
        <name val="Arial"/>
        <charset val="1"/>
      </font>
      <fill>
        <patternFill>
          <bgColor rgb="FFFFCCCC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9C0006"/>
        <name val="Arial"/>
        <charset val="1"/>
      </font>
      <fill>
        <patternFill>
          <bgColor rgb="FFFFCCCC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9C0006"/>
        <name val="Arial"/>
        <charset val="1"/>
      </font>
      <fill>
        <patternFill>
          <bgColor rgb="FFFFCCCC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9C0006"/>
        <name val="Arial"/>
        <charset val="1"/>
      </font>
      <fill>
        <patternFill>
          <bgColor rgb="FFFFCCCC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9C0006"/>
        <name val="Arial"/>
        <charset val="1"/>
      </font>
      <fill>
        <patternFill>
          <bgColor rgb="FFFFCCCC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9C0006"/>
        <name val="Arial"/>
        <charset val="1"/>
      </font>
      <fill>
        <patternFill>
          <bgColor rgb="FFFFCCCC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9C0006"/>
        <name val="Arial"/>
        <charset val="1"/>
      </font>
      <fill>
        <patternFill>
          <bgColor rgb="FFFFCCCC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9C0006"/>
        <name val="Arial"/>
        <charset val="1"/>
      </font>
      <fill>
        <patternFill>
          <bgColor rgb="FFFFCCCC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9C0006"/>
        <name val="Arial"/>
        <charset val="1"/>
      </font>
      <fill>
        <patternFill>
          <bgColor rgb="FFFFCCCC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9C0006"/>
        <name val="Arial"/>
        <charset val="1"/>
      </font>
      <fill>
        <patternFill>
          <bgColor rgb="FFFFCCCC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9C0006"/>
        <name val="Arial"/>
        <charset val="1"/>
      </font>
      <fill>
        <patternFill>
          <bgColor rgb="FFFFCCCC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9C0006"/>
        <name val="Arial"/>
        <charset val="1"/>
      </font>
      <fill>
        <patternFill>
          <bgColor rgb="FFFFCCCC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9C0006"/>
        <name val="Arial"/>
        <charset val="1"/>
      </font>
      <fill>
        <patternFill>
          <bgColor rgb="FFFFCCCC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9C0006"/>
        <name val="Arial"/>
        <charset val="1"/>
      </font>
      <fill>
        <patternFill>
          <bgColor rgb="FFFFCCCC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9C0006"/>
        <name val="Arial"/>
        <charset val="1"/>
      </font>
      <fill>
        <patternFill>
          <bgColor rgb="FFFFCCCC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9C0006"/>
        <name val="Arial"/>
        <charset val="1"/>
      </font>
      <fill>
        <patternFill>
          <bgColor rgb="FFFFCCCC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9C0006"/>
        <name val="Arial"/>
        <charset val="1"/>
      </font>
      <fill>
        <patternFill>
          <bgColor rgb="FFFFCCCC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</dxfs>
  <tableStyles count="1" defaultTableStyle="TableStyleMedium2" defaultPivotStyle="PivotStyleLight16">
    <tableStyle name="Invisible" pivot="0" table="0" count="0" xr9:uid="{286B611D-B760-4274-84AF-8FD6556E4008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3B3B3"/>
      <rgbColor rgb="FF878787"/>
      <rgbColor rgb="FF9999FF"/>
      <rgbColor rgb="FF7030A0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FD966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Pass Rate by Practicum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Dashboard!$F$11</c:f>
              <c:strCache>
                <c:ptCount val="1"/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Dashboard!$B$12:$B$15</c:f>
              <c:strCache>
                <c:ptCount val="4"/>
                <c:pt idx="0">
                  <c:v>Elektronika Analog</c:v>
                </c:pt>
                <c:pt idx="1">
                  <c:v>Elektronika Digital</c:v>
                </c:pt>
                <c:pt idx="2">
                  <c:v>Sistem Instrumentasi</c:v>
                </c:pt>
                <c:pt idx="3">
                  <c:v>Jaringan Komunikasi</c:v>
                </c:pt>
              </c:strCache>
            </c:strRef>
          </c:cat>
          <c:val>
            <c:numRef>
              <c:f>Dashboard!$F$12:$F$15</c:f>
              <c:numCache>
                <c:formatCode>0.0%</c:formatCode>
                <c:ptCount val="4"/>
                <c:pt idx="0">
                  <c:v>0.875</c:v>
                </c:pt>
                <c:pt idx="1">
                  <c:v>0.70833333333333337</c:v>
                </c:pt>
                <c:pt idx="2">
                  <c:v>0.8125</c:v>
                </c:pt>
                <c:pt idx="3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2-43EB-8E05-3667E3A2F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129272"/>
        <c:axId val="69189633"/>
      </c:barChart>
      <c:catAx>
        <c:axId val="641292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189633"/>
        <c:crosses val="autoZero"/>
        <c:auto val="1"/>
        <c:lblAlgn val="ctr"/>
        <c:lblOffset val="100"/>
        <c:noMultiLvlLbl val="0"/>
      </c:catAx>
      <c:valAx>
        <c:axId val="6918963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Pass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1292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ELEKTRONIKA ANALOG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'Defect Analysis &amp; Trend'!$C$4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'Defect Analysis &amp; Trend'!$B$5:$B$8</c:f>
              <c:strCache>
                <c:ptCount val="4"/>
                <c:pt idx="0">
                  <c:v>Measured Value OOSpec</c:v>
                </c:pt>
                <c:pt idx="1">
                  <c:v>Visual Defect</c:v>
                </c:pt>
                <c:pt idx="2">
                  <c:v>Functional Test 2 Fail</c:v>
                </c:pt>
                <c:pt idx="3">
                  <c:v>Both Tests Fail</c:v>
                </c:pt>
              </c:strCache>
            </c:strRef>
          </c:cat>
          <c:val>
            <c:numRef>
              <c:f>'Defect Analysis &amp; Trend'!$C$5:$C$8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0-4E77-948D-10C884FF4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620895"/>
        <c:axId val="64557277"/>
      </c:barChart>
      <c:catAx>
        <c:axId val="716208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557277"/>
        <c:crosses val="autoZero"/>
        <c:auto val="1"/>
        <c:lblAlgn val="ctr"/>
        <c:lblOffset val="100"/>
        <c:noMultiLvlLbl val="0"/>
      </c:catAx>
      <c:valAx>
        <c:axId val="645572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Defect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6208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ELEKTRONIKA DIGITAL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'Defect Analysis &amp; Trend'!$I$4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'Defect Analysis &amp; Trend'!$H$5:$H$8</c:f>
              <c:strCache>
                <c:ptCount val="4"/>
                <c:pt idx="0">
                  <c:v>Measured Value OOSpec</c:v>
                </c:pt>
                <c:pt idx="1">
                  <c:v>Visual Defect</c:v>
                </c:pt>
                <c:pt idx="2">
                  <c:v>Functional Test 2 Fail</c:v>
                </c:pt>
                <c:pt idx="3">
                  <c:v>Both Tests Fail</c:v>
                </c:pt>
              </c:strCache>
            </c:strRef>
          </c:cat>
          <c:val>
            <c:numRef>
              <c:f>'Defect Analysis &amp; Trend'!$I$5:$I$8</c:f>
              <c:numCache>
                <c:formatCode>General</c:formatCode>
                <c:ptCount val="4"/>
                <c:pt idx="0">
                  <c:v>8</c:v>
                </c:pt>
                <c:pt idx="1">
                  <c:v>3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5-43A6-AEAD-FFC892B14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92930"/>
        <c:axId val="10594702"/>
      </c:barChart>
      <c:catAx>
        <c:axId val="214929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594702"/>
        <c:crosses val="autoZero"/>
        <c:auto val="1"/>
        <c:lblAlgn val="ctr"/>
        <c:lblOffset val="100"/>
        <c:noMultiLvlLbl val="0"/>
      </c:catAx>
      <c:valAx>
        <c:axId val="105947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Defect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4929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SISTEM INSTRUMENTASI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'Defect Analysis &amp; Trend'!$C$12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'Defect Analysis &amp; Trend'!$B$13:$B$16</c:f>
              <c:strCache>
                <c:ptCount val="4"/>
                <c:pt idx="0">
                  <c:v>Sensor Output OOSpec</c:v>
                </c:pt>
                <c:pt idx="1">
                  <c:v>Visual Defect</c:v>
                </c:pt>
                <c:pt idx="2">
                  <c:v>Comm Test Fail</c:v>
                </c:pt>
                <c:pt idx="3">
                  <c:v>Both Tests Fail</c:v>
                </c:pt>
              </c:strCache>
            </c:strRef>
          </c:cat>
          <c:val>
            <c:numRef>
              <c:f>'Defect Analysis &amp; Trend'!$C$13:$C$16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8-4155-B6D7-C96708360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97131"/>
        <c:axId val="30283633"/>
      </c:barChart>
      <c:catAx>
        <c:axId val="434971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283633"/>
        <c:crosses val="autoZero"/>
        <c:auto val="1"/>
        <c:lblAlgn val="ctr"/>
        <c:lblOffset val="100"/>
        <c:noMultiLvlLbl val="0"/>
      </c:catAx>
      <c:valAx>
        <c:axId val="302836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Defect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4971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JARINGAN KOMUNIKASI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'Defect Analysis &amp; Trend'!$I$12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7030A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'Defect Analysis &amp; Trend'!$H$13:$H$16</c:f>
              <c:strCache>
                <c:ptCount val="4"/>
                <c:pt idx="0">
                  <c:v>Module Comm Failure</c:v>
                </c:pt>
                <c:pt idx="1">
                  <c:v>Visual / Physical Defect</c:v>
                </c:pt>
                <c:pt idx="2">
                  <c:v>Secondary Test Fail</c:v>
                </c:pt>
                <c:pt idx="3">
                  <c:v>Both Tests Fail</c:v>
                </c:pt>
              </c:strCache>
            </c:strRef>
          </c:cat>
          <c:val>
            <c:numRef>
              <c:f>'Defect Analysis &amp; Trend'!$I$13:$I$16</c:f>
              <c:numCache>
                <c:formatCode>General</c:formatCode>
                <c:ptCount val="4"/>
                <c:pt idx="0">
                  <c:v>8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E-4913-9BC8-305F6630E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027567"/>
        <c:axId val="60867088"/>
      </c:barChart>
      <c:catAx>
        <c:axId val="470275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867088"/>
        <c:crosses val="autoZero"/>
        <c:auto val="1"/>
        <c:lblAlgn val="ctr"/>
        <c:lblOffset val="100"/>
        <c:noMultiLvlLbl val="0"/>
      </c:catAx>
      <c:valAx>
        <c:axId val="608670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Defect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0275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Monthly Defect Rate Trend — Lab SSTK All Practikum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'Defect Analysis &amp; Trend'!$H$46</c:f>
              <c:strCache>
                <c:ptCount val="1"/>
                <c:pt idx="0">
                  <c:v>Defect Rate [=G/C]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'Defect Analysis &amp; Trend'!$B$47:$B$58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'Defect Analysis &amp; Trend'!$H$47:$H$58</c:f>
              <c:numCache>
                <c:formatCode>0.0%</c:formatCode>
                <c:ptCount val="12"/>
                <c:pt idx="0">
                  <c:v>8.7499999999999994E-2</c:v>
                </c:pt>
                <c:pt idx="1">
                  <c:v>7.8125E-2</c:v>
                </c:pt>
                <c:pt idx="2">
                  <c:v>6.25E-2</c:v>
                </c:pt>
                <c:pt idx="3">
                  <c:v>5.6547619047619048E-2</c:v>
                </c:pt>
                <c:pt idx="4">
                  <c:v>4.5454545454545456E-2</c:v>
                </c:pt>
                <c:pt idx="5">
                  <c:v>3.9772727272727272E-2</c:v>
                </c:pt>
                <c:pt idx="6">
                  <c:v>3.2608695652173912E-2</c:v>
                </c:pt>
                <c:pt idx="7">
                  <c:v>2.717391304347826E-2</c:v>
                </c:pt>
                <c:pt idx="8">
                  <c:v>2.717391304347826E-2</c:v>
                </c:pt>
                <c:pt idx="9">
                  <c:v>2.0833333333333332E-2</c:v>
                </c:pt>
                <c:pt idx="10">
                  <c:v>1.8229166666666668E-2</c:v>
                </c:pt>
                <c:pt idx="11">
                  <c:v>1.4999999999999999E-2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25-4C97-AE0B-34B11B9521C2}"/>
            </c:ext>
          </c:extLst>
        </c:ser>
        <c:ser>
          <c:idx val="1"/>
          <c:order val="1"/>
          <c:tx>
            <c:strRef>
              <c:f>'Defect Analysis &amp; Trend'!$I$46</c:f>
              <c:strCache>
                <c:ptCount val="1"/>
                <c:pt idx="0">
                  <c:v>Target Rate [INPUT]</c:v>
                </c:pt>
              </c:strCache>
            </c:strRef>
          </c:tx>
          <c:spPr>
            <a:ln w="1512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'Defect Analysis &amp; Trend'!$B$47:$B$58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'Defect Analysis &amp; Trend'!$I$47:$I$58</c:f>
              <c:numCache>
                <c:formatCode>0.0%</c:formatCode>
                <c:ptCount val="12"/>
                <c:pt idx="0">
                  <c:v>5.0000000000000001E-4</c:v>
                </c:pt>
                <c:pt idx="1">
                  <c:v>5.0000000000000001E-4</c:v>
                </c:pt>
                <c:pt idx="2">
                  <c:v>5.0000000000000001E-4</c:v>
                </c:pt>
                <c:pt idx="3">
                  <c:v>5.0000000000000001E-4</c:v>
                </c:pt>
                <c:pt idx="4">
                  <c:v>5.0000000000000001E-4</c:v>
                </c:pt>
                <c:pt idx="5">
                  <c:v>5.0000000000000001E-4</c:v>
                </c:pt>
                <c:pt idx="6">
                  <c:v>5.0000000000000001E-4</c:v>
                </c:pt>
                <c:pt idx="7">
                  <c:v>5.0000000000000001E-4</c:v>
                </c:pt>
                <c:pt idx="8">
                  <c:v>5.0000000000000001E-4</c:v>
                </c:pt>
                <c:pt idx="9">
                  <c:v>5.0000000000000001E-4</c:v>
                </c:pt>
                <c:pt idx="10">
                  <c:v>5.0000000000000001E-4</c:v>
                </c:pt>
                <c:pt idx="11">
                  <c:v>5.0000000000000001E-4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25-4C97-AE0B-34B11B952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8548659"/>
        <c:axId val="73766221"/>
      </c:lineChart>
      <c:catAx>
        <c:axId val="385486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766221"/>
        <c:crosses val="autoZero"/>
        <c:auto val="1"/>
        <c:lblAlgn val="ctr"/>
        <c:lblOffset val="100"/>
        <c:noMultiLvlLbl val="0"/>
      </c:catAx>
      <c:valAx>
        <c:axId val="73766221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Defect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5486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1742180</xdr:colOff>
      <xdr:row>27</xdr:row>
      <xdr:rowOff>32565</xdr:rowOff>
    </xdr:from>
    <xdr:to>
      <xdr:col>10</xdr:col>
      <xdr:colOff>681718</xdr:colOff>
      <xdr:row>47</xdr:row>
      <xdr:rowOff>53786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76200</xdr:rowOff>
    </xdr:from>
    <xdr:to>
      <xdr:col>7</xdr:col>
      <xdr:colOff>963413</xdr:colOff>
      <xdr:row>34</xdr:row>
      <xdr:rowOff>74700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374650</xdr:colOff>
      <xdr:row>17</xdr:row>
      <xdr:rowOff>69850</xdr:rowOff>
    </xdr:from>
    <xdr:to>
      <xdr:col>9</xdr:col>
      <xdr:colOff>210484</xdr:colOff>
      <xdr:row>34</xdr:row>
      <xdr:rowOff>68350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584200</xdr:colOff>
      <xdr:row>17</xdr:row>
      <xdr:rowOff>63500</xdr:rowOff>
    </xdr:from>
    <xdr:to>
      <xdr:col>27</xdr:col>
      <xdr:colOff>424571</xdr:colOff>
      <xdr:row>34</xdr:row>
      <xdr:rowOff>90440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133350</xdr:colOff>
      <xdr:row>17</xdr:row>
      <xdr:rowOff>63500</xdr:rowOff>
    </xdr:from>
    <xdr:to>
      <xdr:col>14</xdr:col>
      <xdr:colOff>449970</xdr:colOff>
      <xdr:row>34</xdr:row>
      <xdr:rowOff>90440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76</xdr:row>
      <xdr:rowOff>86920</xdr:rowOff>
    </xdr:from>
    <xdr:to>
      <xdr:col>13</xdr:col>
      <xdr:colOff>1495336</xdr:colOff>
      <xdr:row>101</xdr:row>
      <xdr:rowOff>2991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showGridLines="0" topLeftCell="A25" zoomScale="68" zoomScaleNormal="68" workbookViewId="0">
      <selection activeCell="B21" sqref="B21:F21"/>
    </sheetView>
  </sheetViews>
  <sheetFormatPr defaultColWidth="8.6328125" defaultRowHeight="14.5" x14ac:dyDescent="0.35"/>
  <cols>
    <col min="1" max="1" width="26.81640625" bestFit="1" customWidth="1"/>
    <col min="2" max="2" width="38" customWidth="1"/>
    <col min="3" max="3" width="8.6328125" bestFit="1" customWidth="1"/>
    <col min="4" max="4" width="50" customWidth="1"/>
    <col min="5" max="5" width="16" customWidth="1"/>
    <col min="6" max="6" width="6.26953125" bestFit="1" customWidth="1"/>
    <col min="7" max="7" width="9.7265625" bestFit="1" customWidth="1"/>
    <col min="8" max="8" width="22" customWidth="1"/>
    <col min="9" max="10" width="14" customWidth="1"/>
    <col min="11" max="11" width="16" customWidth="1"/>
    <col min="12" max="12" width="14" customWidth="1"/>
    <col min="13" max="13" width="2" customWidth="1"/>
  </cols>
  <sheetData>
    <row r="1" spans="1:13" ht="27.7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5.75" customHeight="1" x14ac:dyDescent="0.35">
      <c r="B2" s="13" t="s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3" ht="7.5" customHeight="1" x14ac:dyDescent="0.35"/>
    <row r="4" spans="1:13" x14ac:dyDescent="0.35">
      <c r="B4" s="12" t="s">
        <v>583</v>
      </c>
      <c r="C4" s="12"/>
      <c r="D4" s="11" t="s">
        <v>584</v>
      </c>
      <c r="E4" s="11"/>
      <c r="H4" s="10" t="s">
        <v>585</v>
      </c>
      <c r="I4" s="10"/>
      <c r="J4" s="9" t="s">
        <v>586</v>
      </c>
      <c r="K4" s="9"/>
    </row>
    <row r="5" spans="1:13" ht="19.5" customHeight="1" x14ac:dyDescent="0.35">
      <c r="B5" s="12"/>
      <c r="C5" s="12"/>
      <c r="D5" s="11"/>
      <c r="E5" s="11"/>
      <c r="H5" s="10"/>
      <c r="I5" s="10"/>
      <c r="J5" s="9"/>
      <c r="K5" s="9"/>
    </row>
    <row r="6" spans="1:13" ht="15" customHeight="1" x14ac:dyDescent="0.35">
      <c r="B6" s="8">
        <f>IFERROR(Elek_Analog!I66/Elek_Analog!H66,0)</f>
        <v>0.875</v>
      </c>
      <c r="C6" s="8"/>
      <c r="D6" s="7">
        <f>IFERROR(Elek_Digital!I66/Elek_Digital!H66,0)</f>
        <v>0.70833333333333337</v>
      </c>
      <c r="E6" s="7"/>
      <c r="H6" s="6">
        <f>IFERROR(Sistem_Instr!I66/Sistem_Instr!H66,0)</f>
        <v>0.8125</v>
      </c>
      <c r="I6" s="6"/>
      <c r="J6" s="5">
        <f>IFERROR(Jar_Komunikasi!I66/Jar_Komunikasi!H66,0)</f>
        <v>0.625</v>
      </c>
      <c r="K6" s="5"/>
    </row>
    <row r="7" spans="1:13" ht="15" customHeight="1" x14ac:dyDescent="0.35">
      <c r="B7" s="8"/>
      <c r="C7" s="8"/>
      <c r="D7" s="7"/>
      <c r="E7" s="7"/>
      <c r="H7" s="6"/>
      <c r="I7" s="6"/>
      <c r="J7" s="5"/>
      <c r="K7" s="5"/>
    </row>
    <row r="8" spans="1:13" ht="15" customHeight="1" x14ac:dyDescent="0.35">
      <c r="B8" s="8"/>
      <c r="C8" s="8"/>
      <c r="D8" s="7"/>
      <c r="E8" s="7"/>
      <c r="H8" s="6"/>
      <c r="I8" s="6"/>
      <c r="J8" s="5"/>
      <c r="K8" s="5"/>
    </row>
    <row r="9" spans="1:13" ht="7.5" customHeight="1" x14ac:dyDescent="0.35"/>
    <row r="10" spans="1:13" ht="15" customHeight="1" x14ac:dyDescent="0.35">
      <c r="B10" s="4" t="s">
        <v>2</v>
      </c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3" ht="31.5" customHeight="1" x14ac:dyDescent="0.35">
      <c r="B11" s="15" t="s">
        <v>3</v>
      </c>
      <c r="C11" s="15" t="s">
        <v>4</v>
      </c>
      <c r="D11" s="12" t="s">
        <v>5</v>
      </c>
      <c r="E11" s="12"/>
      <c r="F11" s="12"/>
      <c r="G11" s="15" t="s">
        <v>6</v>
      </c>
    </row>
    <row r="12" spans="1:13" ht="15" customHeight="1" x14ac:dyDescent="0.35">
      <c r="B12" s="19" t="s">
        <v>7</v>
      </c>
      <c r="C12" s="20">
        <f>Elek_Analog!H66</f>
        <v>48</v>
      </c>
      <c r="D12" s="21">
        <f>Elek_Analog!I66</f>
        <v>42</v>
      </c>
      <c r="E12" s="22">
        <f>Elek_Analog!J66</f>
        <v>6</v>
      </c>
      <c r="F12" s="23">
        <f>IFERROR(Elek_Analog!I66/Elek_Analog!H66,0)</f>
        <v>0.875</v>
      </c>
      <c r="G12" s="20">
        <f>Elek_Analog!J66</f>
        <v>6</v>
      </c>
    </row>
    <row r="13" spans="1:13" ht="15" customHeight="1" x14ac:dyDescent="0.35">
      <c r="B13" s="19" t="s">
        <v>8</v>
      </c>
      <c r="C13" s="20">
        <f>Elek_Digital!H66</f>
        <v>48</v>
      </c>
      <c r="D13" s="21">
        <f>Elek_Digital!I66</f>
        <v>34</v>
      </c>
      <c r="E13" s="22">
        <f>Elek_Digital!J66</f>
        <v>14</v>
      </c>
      <c r="F13" s="23">
        <f>IFERROR(Elek_Digital!I66/Elek_Digital!H66,0)</f>
        <v>0.70833333333333337</v>
      </c>
      <c r="G13" s="20">
        <f>Elek_Digital!J66</f>
        <v>14</v>
      </c>
    </row>
    <row r="14" spans="1:13" ht="15" customHeight="1" x14ac:dyDescent="0.35">
      <c r="B14" s="19" t="s">
        <v>9</v>
      </c>
      <c r="C14" s="20">
        <f>Sistem_Instr!H66</f>
        <v>48</v>
      </c>
      <c r="D14" s="21">
        <f>Sistem_Instr!I66</f>
        <v>39</v>
      </c>
      <c r="E14" s="22">
        <f>Sistem_Instr!J66</f>
        <v>9</v>
      </c>
      <c r="F14" s="23">
        <f>IFERROR(Sistem_Instr!I66/Sistem_Instr!H66,0)</f>
        <v>0.8125</v>
      </c>
      <c r="G14" s="20">
        <f>Sistem_Instr!J66</f>
        <v>9</v>
      </c>
    </row>
    <row r="15" spans="1:13" ht="15" customHeight="1" x14ac:dyDescent="0.35">
      <c r="B15" s="19" t="s">
        <v>10</v>
      </c>
      <c r="C15" s="20">
        <f>Jar_Komunikasi!H66</f>
        <v>48</v>
      </c>
      <c r="D15" s="21">
        <f>Jar_Komunikasi!I66</f>
        <v>30</v>
      </c>
      <c r="E15" s="22">
        <f>Jar_Komunikasi!J66</f>
        <v>18</v>
      </c>
      <c r="F15" s="23">
        <f>IFERROR(Jar_Komunikasi!I66/Jar_Komunikasi!H66,0)</f>
        <v>0.625</v>
      </c>
      <c r="G15" s="20">
        <f>Jar_Komunikasi!J66</f>
        <v>18</v>
      </c>
    </row>
    <row r="16" spans="1:13" ht="15" customHeight="1" x14ac:dyDescent="0.35">
      <c r="B16" s="24" t="s">
        <v>11</v>
      </c>
      <c r="C16" s="25">
        <f>SUM(C12:C15)</f>
        <v>192</v>
      </c>
      <c r="D16" s="25">
        <f>SUM(D12:D15)</f>
        <v>145</v>
      </c>
      <c r="E16" s="25">
        <f>SUM(E12:E15)</f>
        <v>47</v>
      </c>
      <c r="F16" s="26">
        <f>IFERROR(D16/C16,0)</f>
        <v>0.75520833333333337</v>
      </c>
    </row>
    <row r="18" spans="1:13" ht="6" customHeight="1" x14ac:dyDescent="0.35"/>
    <row r="19" spans="1:13" ht="18" customHeight="1" x14ac:dyDescent="0.35">
      <c r="A19" s="3" t="s">
        <v>12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8" customHeight="1" x14ac:dyDescent="0.35">
      <c r="A20" s="27" t="s">
        <v>13</v>
      </c>
      <c r="B20" s="2" t="s">
        <v>14</v>
      </c>
      <c r="C20" s="2"/>
      <c r="D20" s="2"/>
      <c r="E20" s="2"/>
      <c r="F20" s="2"/>
      <c r="G20" s="1"/>
      <c r="H20" s="1"/>
      <c r="I20" s="1"/>
      <c r="J20" s="1"/>
      <c r="K20" s="1"/>
      <c r="L20" s="1"/>
      <c r="M20" s="1"/>
    </row>
    <row r="21" spans="1:13" ht="19" customHeight="1" x14ac:dyDescent="0.35">
      <c r="A21" s="28" t="s">
        <v>15</v>
      </c>
      <c r="B21" s="50" t="s">
        <v>16</v>
      </c>
      <c r="C21" s="50"/>
      <c r="D21" s="50"/>
      <c r="E21" s="50"/>
      <c r="F21" s="50"/>
      <c r="G21" s="51" t="s">
        <v>17</v>
      </c>
      <c r="H21" s="51"/>
      <c r="I21" s="51"/>
      <c r="J21" s="51"/>
      <c r="K21" s="51"/>
      <c r="L21" s="51"/>
      <c r="M21" s="51"/>
    </row>
    <row r="22" spans="1:13" ht="22.5" customHeight="1" x14ac:dyDescent="0.35">
      <c r="A22" s="29" t="s">
        <v>18</v>
      </c>
      <c r="B22" s="52" t="s">
        <v>19</v>
      </c>
      <c r="C22" s="52"/>
      <c r="D22" s="52"/>
      <c r="E22" s="52"/>
      <c r="F22" s="52"/>
      <c r="G22" s="53" t="s">
        <v>20</v>
      </c>
      <c r="H22" s="53"/>
      <c r="I22" s="53"/>
      <c r="J22" s="53"/>
      <c r="K22" s="53"/>
      <c r="L22" s="53"/>
      <c r="M22" s="53"/>
    </row>
    <row r="23" spans="1:13" ht="21.5" customHeight="1" x14ac:dyDescent="0.35">
      <c r="A23" s="28" t="s">
        <v>21</v>
      </c>
      <c r="B23" s="50" t="s">
        <v>22</v>
      </c>
      <c r="C23" s="50"/>
      <c r="D23" s="50"/>
      <c r="E23" s="50"/>
      <c r="F23" s="50"/>
      <c r="G23" s="51" t="s">
        <v>23</v>
      </c>
      <c r="H23" s="51"/>
      <c r="I23" s="51"/>
      <c r="J23" s="51"/>
      <c r="K23" s="51"/>
      <c r="L23" s="51"/>
      <c r="M23" s="51"/>
    </row>
    <row r="24" spans="1:13" ht="19" customHeight="1" x14ac:dyDescent="0.35">
      <c r="A24" s="29" t="s">
        <v>24</v>
      </c>
      <c r="B24" s="52" t="s">
        <v>25</v>
      </c>
      <c r="C24" s="52"/>
      <c r="D24" s="52"/>
      <c r="E24" s="52"/>
      <c r="F24" s="52"/>
      <c r="G24" s="53" t="s">
        <v>26</v>
      </c>
      <c r="H24" s="53"/>
      <c r="I24" s="53"/>
      <c r="J24" s="53"/>
      <c r="K24" s="53"/>
      <c r="L24" s="53"/>
      <c r="M24" s="53"/>
    </row>
    <row r="25" spans="1:13" ht="15.75" customHeight="1" x14ac:dyDescent="0.35">
      <c r="A25" s="54" t="s">
        <v>27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</row>
  </sheetData>
  <mergeCells count="24">
    <mergeCell ref="A25:M25"/>
    <mergeCell ref="B22:F22"/>
    <mergeCell ref="G22:M22"/>
    <mergeCell ref="B23:F23"/>
    <mergeCell ref="G23:M23"/>
    <mergeCell ref="B24:F24"/>
    <mergeCell ref="G24:M24"/>
    <mergeCell ref="D11:F11"/>
    <mergeCell ref="A19:M19"/>
    <mergeCell ref="B20:F20"/>
    <mergeCell ref="G20:M20"/>
    <mergeCell ref="B21:F21"/>
    <mergeCell ref="G21:M21"/>
    <mergeCell ref="B6:C8"/>
    <mergeCell ref="D6:E8"/>
    <mergeCell ref="H6:I8"/>
    <mergeCell ref="J6:K8"/>
    <mergeCell ref="B10:L10"/>
    <mergeCell ref="A1:M1"/>
    <mergeCell ref="B2:L2"/>
    <mergeCell ref="B4:C5"/>
    <mergeCell ref="D4:E5"/>
    <mergeCell ref="H4:I5"/>
    <mergeCell ref="J4:K5"/>
  </mergeCells>
  <pageMargins left="0.4" right="0.4" top="0.5" bottom="0.5" header="0.3" footer="0.3"/>
  <pageSetup paperSize="9" orientation="portrait" horizontalDpi="300" verticalDpi="300" r:id="rId1"/>
  <headerFooter>
    <oddHeader>&amp;C&amp;9 Dashboard</oddHeader>
    <oddFooter>&amp;L&amp;8 Lab Sensor Sistem Telekontrol — DTNTF UGM | Component QC Log&amp;R&amp;8 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7"/>
  <sheetViews>
    <sheetView showGridLines="0" zoomScale="60" zoomScaleNormal="60" workbookViewId="0">
      <pane ySplit="5" topLeftCell="A20" activePane="bottomLeft" state="frozen"/>
      <selection pane="bottomLeft" sqref="A1:O1"/>
    </sheetView>
  </sheetViews>
  <sheetFormatPr defaultColWidth="8.6328125" defaultRowHeight="14.5" x14ac:dyDescent="0.35"/>
  <cols>
    <col min="1" max="1" width="28" customWidth="1"/>
    <col min="2" max="2" width="38" customWidth="1"/>
    <col min="3" max="3" width="50" customWidth="1"/>
    <col min="4" max="4" width="12" customWidth="1"/>
    <col min="5" max="5" width="14" customWidth="1"/>
    <col min="6" max="6" width="8" customWidth="1"/>
    <col min="7" max="8" width="13" customWidth="1"/>
    <col min="9" max="9" width="14" customWidth="1"/>
    <col min="10" max="11" width="12" customWidth="1"/>
    <col min="12" max="14" width="14" customWidth="1"/>
    <col min="15" max="15" width="20" customWidth="1"/>
  </cols>
  <sheetData>
    <row r="1" spans="1:15" ht="27.75" customHeight="1" x14ac:dyDescent="0.35">
      <c r="A1" s="55" t="s">
        <v>28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5" ht="15.75" customHeight="1" x14ac:dyDescent="0.35">
      <c r="A2" s="56" t="s">
        <v>29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5" ht="15.75" customHeight="1" x14ac:dyDescent="0.35">
      <c r="A3" s="57" t="s">
        <v>30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ht="3.75" customHeight="1" x14ac:dyDescent="0.35"/>
    <row r="5" spans="1:15" ht="36" customHeight="1" x14ac:dyDescent="0.35">
      <c r="A5" s="15" t="s">
        <v>31</v>
      </c>
      <c r="B5" s="15" t="s">
        <v>32</v>
      </c>
      <c r="C5" s="15" t="s">
        <v>33</v>
      </c>
      <c r="D5" s="15" t="s">
        <v>34</v>
      </c>
      <c r="E5" s="15" t="s">
        <v>35</v>
      </c>
      <c r="F5" s="15" t="s">
        <v>36</v>
      </c>
      <c r="G5" s="15" t="s">
        <v>37</v>
      </c>
      <c r="H5" s="15" t="s">
        <v>38</v>
      </c>
      <c r="I5" s="15" t="s">
        <v>39</v>
      </c>
      <c r="J5" s="15" t="s">
        <v>40</v>
      </c>
      <c r="K5" s="15" t="s">
        <v>41</v>
      </c>
      <c r="L5" s="15" t="s">
        <v>42</v>
      </c>
      <c r="M5" s="15" t="s">
        <v>43</v>
      </c>
      <c r="N5" s="15" t="s">
        <v>44</v>
      </c>
      <c r="O5" s="15" t="s">
        <v>45</v>
      </c>
    </row>
    <row r="6" spans="1:15" ht="13.5" customHeight="1" x14ac:dyDescent="0.35">
      <c r="A6" s="58" t="s">
        <v>46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</row>
    <row r="7" spans="1:15" ht="15.75" customHeight="1" x14ac:dyDescent="0.35">
      <c r="A7" s="3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23" x14ac:dyDescent="0.35">
      <c r="A8" s="30">
        <v>1</v>
      </c>
      <c r="B8" s="31" t="s">
        <v>48</v>
      </c>
      <c r="C8" s="32" t="s">
        <v>49</v>
      </c>
      <c r="D8" s="31" t="s">
        <v>50</v>
      </c>
      <c r="E8" s="31" t="s">
        <v>51</v>
      </c>
      <c r="F8" s="31">
        <v>24</v>
      </c>
      <c r="G8" s="31" t="s">
        <v>52</v>
      </c>
      <c r="H8" s="31">
        <v>10</v>
      </c>
      <c r="I8" s="31">
        <v>10.19</v>
      </c>
      <c r="J8" s="32" t="s">
        <v>53</v>
      </c>
      <c r="K8" s="30" t="str">
        <f t="shared" ref="K8:K19" si="0">IF(G8="Fail","Fail",IF(ABS(I8-H8)/IF(H8=0,1,H8)&lt;=0.1,"Pass","Fail"))</f>
        <v>Pass</v>
      </c>
      <c r="L8" s="32" t="s">
        <v>54</v>
      </c>
      <c r="M8" s="31" t="s">
        <v>52</v>
      </c>
      <c r="N8" s="33" t="str">
        <f t="shared" ref="N8:N19" si="1">IF(AND(G8="Pass",K8="Pass",M8="Pass"),"PASS","FAIL")</f>
        <v>PASS</v>
      </c>
      <c r="O8" s="34" t="str">
        <f t="shared" ref="O8:O19" si="2">IF(N8="PASS","Release to practicum","Quarantine — do not issue to students")</f>
        <v>Release to practicum</v>
      </c>
    </row>
    <row r="9" spans="1:15" ht="23" x14ac:dyDescent="0.35">
      <c r="A9" s="35">
        <v>2</v>
      </c>
      <c r="B9" s="31" t="s">
        <v>55</v>
      </c>
      <c r="C9" s="32" t="s">
        <v>56</v>
      </c>
      <c r="D9" s="31" t="s">
        <v>57</v>
      </c>
      <c r="E9" s="31" t="s">
        <v>51</v>
      </c>
      <c r="F9" s="31">
        <v>25</v>
      </c>
      <c r="G9" s="31" t="s">
        <v>52</v>
      </c>
      <c r="H9" s="31">
        <v>1</v>
      </c>
      <c r="I9" s="31">
        <v>0.94</v>
      </c>
      <c r="J9" s="32" t="s">
        <v>53</v>
      </c>
      <c r="K9" s="30" t="str">
        <f t="shared" si="0"/>
        <v>Pass</v>
      </c>
      <c r="L9" s="32" t="s">
        <v>54</v>
      </c>
      <c r="M9" s="31" t="s">
        <v>52</v>
      </c>
      <c r="N9" s="33" t="str">
        <f t="shared" si="1"/>
        <v>PASS</v>
      </c>
      <c r="O9" s="34" t="str">
        <f t="shared" si="2"/>
        <v>Release to practicum</v>
      </c>
    </row>
    <row r="10" spans="1:15" x14ac:dyDescent="0.35">
      <c r="A10" s="30">
        <v>3</v>
      </c>
      <c r="B10" s="31" t="s">
        <v>58</v>
      </c>
      <c r="C10" s="32" t="s">
        <v>59</v>
      </c>
      <c r="D10" s="31" t="s">
        <v>60</v>
      </c>
      <c r="E10" s="31" t="s">
        <v>51</v>
      </c>
      <c r="F10" s="31">
        <v>22</v>
      </c>
      <c r="G10" s="31" t="s">
        <v>52</v>
      </c>
      <c r="H10" s="31">
        <v>100</v>
      </c>
      <c r="I10" s="31">
        <v>105.47</v>
      </c>
      <c r="J10" s="32" t="s">
        <v>61</v>
      </c>
      <c r="K10" s="30" t="str">
        <f t="shared" si="0"/>
        <v>Pass</v>
      </c>
      <c r="L10" s="32" t="s">
        <v>62</v>
      </c>
      <c r="M10" s="31" t="s">
        <v>52</v>
      </c>
      <c r="N10" s="33" t="str">
        <f t="shared" si="1"/>
        <v>PASS</v>
      </c>
      <c r="O10" s="34" t="str">
        <f t="shared" si="2"/>
        <v>Release to practicum</v>
      </c>
    </row>
    <row r="11" spans="1:15" x14ac:dyDescent="0.35">
      <c r="A11" s="35">
        <v>4</v>
      </c>
      <c r="B11" s="31" t="s">
        <v>63</v>
      </c>
      <c r="C11" s="32" t="s">
        <v>64</v>
      </c>
      <c r="D11" s="31" t="s">
        <v>65</v>
      </c>
      <c r="E11" s="31" t="s">
        <v>51</v>
      </c>
      <c r="F11" s="31">
        <v>21</v>
      </c>
      <c r="G11" s="31" t="s">
        <v>52</v>
      </c>
      <c r="H11" s="31">
        <v>10</v>
      </c>
      <c r="I11" s="31">
        <v>10.050000000000001</v>
      </c>
      <c r="J11" s="32" t="s">
        <v>61</v>
      </c>
      <c r="K11" s="30" t="str">
        <f t="shared" si="0"/>
        <v>Pass</v>
      </c>
      <c r="L11" s="32" t="s">
        <v>54</v>
      </c>
      <c r="M11" s="31" t="s">
        <v>52</v>
      </c>
      <c r="N11" s="33" t="str">
        <f t="shared" si="1"/>
        <v>PASS</v>
      </c>
      <c r="O11" s="34" t="str">
        <f t="shared" si="2"/>
        <v>Release to practicum</v>
      </c>
    </row>
    <row r="12" spans="1:15" x14ac:dyDescent="0.35">
      <c r="A12" s="30">
        <v>5</v>
      </c>
      <c r="B12" s="31" t="s">
        <v>66</v>
      </c>
      <c r="C12" s="32" t="s">
        <v>67</v>
      </c>
      <c r="D12" s="31" t="s">
        <v>68</v>
      </c>
      <c r="E12" s="31" t="s">
        <v>69</v>
      </c>
      <c r="F12" s="31">
        <v>20</v>
      </c>
      <c r="G12" s="31" t="s">
        <v>52</v>
      </c>
      <c r="H12" s="31">
        <v>0.7</v>
      </c>
      <c r="I12" s="31">
        <v>0.69</v>
      </c>
      <c r="J12" s="32" t="s">
        <v>70</v>
      </c>
      <c r="K12" s="30" t="str">
        <f t="shared" si="0"/>
        <v>Pass</v>
      </c>
      <c r="L12" s="32" t="s">
        <v>71</v>
      </c>
      <c r="M12" s="31" t="s">
        <v>52</v>
      </c>
      <c r="N12" s="33" t="str">
        <f t="shared" si="1"/>
        <v>PASS</v>
      </c>
      <c r="O12" s="34" t="str">
        <f t="shared" si="2"/>
        <v>Release to practicum</v>
      </c>
    </row>
    <row r="13" spans="1:15" ht="23" x14ac:dyDescent="0.35">
      <c r="A13" s="35">
        <v>6</v>
      </c>
      <c r="B13" s="31" t="s">
        <v>72</v>
      </c>
      <c r="C13" s="32" t="s">
        <v>73</v>
      </c>
      <c r="D13" s="31" t="s">
        <v>74</v>
      </c>
      <c r="E13" s="31" t="s">
        <v>69</v>
      </c>
      <c r="F13" s="31">
        <v>23</v>
      </c>
      <c r="G13" s="31" t="s">
        <v>52</v>
      </c>
      <c r="H13" s="31">
        <v>0.6</v>
      </c>
      <c r="I13" s="31">
        <v>0.59</v>
      </c>
      <c r="J13" s="32" t="s">
        <v>70</v>
      </c>
      <c r="K13" s="30" t="str">
        <f t="shared" si="0"/>
        <v>Pass</v>
      </c>
      <c r="L13" s="32" t="s">
        <v>71</v>
      </c>
      <c r="M13" s="31" t="s">
        <v>75</v>
      </c>
      <c r="N13" s="33" t="str">
        <f t="shared" si="1"/>
        <v>FAIL</v>
      </c>
      <c r="O13" s="34" t="str">
        <f t="shared" si="2"/>
        <v>Quarantine — do not issue to students</v>
      </c>
    </row>
    <row r="14" spans="1:15" x14ac:dyDescent="0.35">
      <c r="A14" s="30">
        <v>7</v>
      </c>
      <c r="B14" s="31" t="s">
        <v>76</v>
      </c>
      <c r="C14" s="32" t="s">
        <v>77</v>
      </c>
      <c r="D14" s="31" t="s">
        <v>78</v>
      </c>
      <c r="E14" s="31" t="s">
        <v>69</v>
      </c>
      <c r="F14" s="31">
        <v>23</v>
      </c>
      <c r="G14" s="31" t="s">
        <v>52</v>
      </c>
      <c r="H14" s="31">
        <v>110</v>
      </c>
      <c r="I14" s="31">
        <v>100.08</v>
      </c>
      <c r="J14" s="32" t="s">
        <v>79</v>
      </c>
      <c r="K14" s="30" t="str">
        <f t="shared" si="0"/>
        <v>Pass</v>
      </c>
      <c r="L14" s="32" t="s">
        <v>80</v>
      </c>
      <c r="M14" s="31" t="s">
        <v>52</v>
      </c>
      <c r="N14" s="33" t="str">
        <f t="shared" si="1"/>
        <v>PASS</v>
      </c>
      <c r="O14" s="34" t="str">
        <f t="shared" si="2"/>
        <v>Release to practicum</v>
      </c>
    </row>
    <row r="15" spans="1:15" x14ac:dyDescent="0.35">
      <c r="A15" s="35">
        <v>8</v>
      </c>
      <c r="B15" s="31" t="s">
        <v>81</v>
      </c>
      <c r="C15" s="32" t="s">
        <v>82</v>
      </c>
      <c r="D15" s="31" t="s">
        <v>83</v>
      </c>
      <c r="E15" s="31" t="s">
        <v>69</v>
      </c>
      <c r="F15" s="31">
        <v>24</v>
      </c>
      <c r="G15" s="31" t="s">
        <v>52</v>
      </c>
      <c r="H15" s="31">
        <v>110</v>
      </c>
      <c r="I15" s="31">
        <v>117.75</v>
      </c>
      <c r="J15" s="32" t="s">
        <v>79</v>
      </c>
      <c r="K15" s="30" t="str">
        <f t="shared" si="0"/>
        <v>Pass</v>
      </c>
      <c r="L15" s="32" t="s">
        <v>80</v>
      </c>
      <c r="M15" s="31" t="s">
        <v>52</v>
      </c>
      <c r="N15" s="33" t="str">
        <f t="shared" si="1"/>
        <v>PASS</v>
      </c>
      <c r="O15" s="34" t="str">
        <f t="shared" si="2"/>
        <v>Release to practicum</v>
      </c>
    </row>
    <row r="16" spans="1:15" ht="23" x14ac:dyDescent="0.35">
      <c r="A16" s="30">
        <v>9</v>
      </c>
      <c r="B16" s="31" t="s">
        <v>84</v>
      </c>
      <c r="C16" s="32" t="s">
        <v>85</v>
      </c>
      <c r="D16" s="31" t="s">
        <v>86</v>
      </c>
      <c r="E16" s="31" t="s">
        <v>87</v>
      </c>
      <c r="F16" s="31">
        <v>21</v>
      </c>
      <c r="G16" s="31" t="s">
        <v>52</v>
      </c>
      <c r="H16" s="31">
        <v>5</v>
      </c>
      <c r="I16" s="31">
        <v>5.49</v>
      </c>
      <c r="J16" s="32" t="s">
        <v>88</v>
      </c>
      <c r="K16" s="30" t="str">
        <f t="shared" si="0"/>
        <v>Pass</v>
      </c>
      <c r="L16" s="32" t="s">
        <v>89</v>
      </c>
      <c r="M16" s="31" t="s">
        <v>52</v>
      </c>
      <c r="N16" s="33" t="str">
        <f t="shared" si="1"/>
        <v>PASS</v>
      </c>
      <c r="O16" s="34" t="str">
        <f t="shared" si="2"/>
        <v>Release to practicum</v>
      </c>
    </row>
    <row r="17" spans="1:15" ht="23" x14ac:dyDescent="0.35">
      <c r="A17" s="35">
        <v>10</v>
      </c>
      <c r="B17" s="31" t="s">
        <v>90</v>
      </c>
      <c r="C17" s="32" t="s">
        <v>91</v>
      </c>
      <c r="D17" s="31" t="s">
        <v>92</v>
      </c>
      <c r="E17" s="31" t="s">
        <v>87</v>
      </c>
      <c r="F17" s="31">
        <v>22</v>
      </c>
      <c r="G17" s="31" t="s">
        <v>52</v>
      </c>
      <c r="H17" s="31">
        <v>5</v>
      </c>
      <c r="I17" s="31">
        <v>5.31</v>
      </c>
      <c r="J17" s="32" t="s">
        <v>88</v>
      </c>
      <c r="K17" s="30" t="str">
        <f t="shared" si="0"/>
        <v>Pass</v>
      </c>
      <c r="L17" s="32" t="s">
        <v>89</v>
      </c>
      <c r="M17" s="31" t="s">
        <v>52</v>
      </c>
      <c r="N17" s="33" t="str">
        <f t="shared" si="1"/>
        <v>PASS</v>
      </c>
      <c r="O17" s="34" t="str">
        <f t="shared" si="2"/>
        <v>Release to practicum</v>
      </c>
    </row>
    <row r="18" spans="1:15" x14ac:dyDescent="0.35">
      <c r="A18" s="30">
        <v>11</v>
      </c>
      <c r="B18" s="31" t="s">
        <v>93</v>
      </c>
      <c r="C18" s="32" t="s">
        <v>94</v>
      </c>
      <c r="D18" s="31" t="s">
        <v>95</v>
      </c>
      <c r="E18" s="31" t="s">
        <v>87</v>
      </c>
      <c r="F18" s="31">
        <v>24</v>
      </c>
      <c r="G18" s="31" t="s">
        <v>52</v>
      </c>
      <c r="H18" s="31">
        <v>5</v>
      </c>
      <c r="I18" s="31">
        <v>5.33</v>
      </c>
      <c r="J18" s="32" t="s">
        <v>96</v>
      </c>
      <c r="K18" s="30" t="str">
        <f t="shared" si="0"/>
        <v>Pass</v>
      </c>
      <c r="L18" s="32" t="s">
        <v>97</v>
      </c>
      <c r="M18" s="31" t="s">
        <v>52</v>
      </c>
      <c r="N18" s="33" t="str">
        <f t="shared" si="1"/>
        <v>PASS</v>
      </c>
      <c r="O18" s="34" t="str">
        <f t="shared" si="2"/>
        <v>Release to practicum</v>
      </c>
    </row>
    <row r="19" spans="1:15" x14ac:dyDescent="0.35">
      <c r="A19" s="35">
        <v>12</v>
      </c>
      <c r="B19" s="31" t="s">
        <v>98</v>
      </c>
      <c r="C19" s="32" t="s">
        <v>99</v>
      </c>
      <c r="D19" s="31" t="s">
        <v>100</v>
      </c>
      <c r="E19" s="31" t="s">
        <v>87</v>
      </c>
      <c r="F19" s="31">
        <v>21</v>
      </c>
      <c r="G19" s="31" t="s">
        <v>52</v>
      </c>
      <c r="H19" s="31">
        <v>10</v>
      </c>
      <c r="I19" s="31">
        <v>10.84</v>
      </c>
      <c r="J19" s="32" t="s">
        <v>101</v>
      </c>
      <c r="K19" s="30" t="str">
        <f t="shared" si="0"/>
        <v>Pass</v>
      </c>
      <c r="L19" s="32" t="s">
        <v>102</v>
      </c>
      <c r="M19" s="31" t="s">
        <v>52</v>
      </c>
      <c r="N19" s="33" t="str">
        <f t="shared" si="1"/>
        <v>PASS</v>
      </c>
      <c r="O19" s="34" t="str">
        <f t="shared" si="2"/>
        <v>Release to practicum</v>
      </c>
    </row>
    <row r="21" spans="1:15" ht="15.75" customHeight="1" x14ac:dyDescent="0.35">
      <c r="A21" s="3" t="s">
        <v>103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23" x14ac:dyDescent="0.35">
      <c r="A22" s="30">
        <v>1</v>
      </c>
      <c r="B22" s="31" t="s">
        <v>48</v>
      </c>
      <c r="C22" s="32" t="s">
        <v>49</v>
      </c>
      <c r="D22" s="31" t="s">
        <v>104</v>
      </c>
      <c r="E22" s="31" t="s">
        <v>105</v>
      </c>
      <c r="F22" s="31">
        <v>25</v>
      </c>
      <c r="G22" s="31" t="s">
        <v>52</v>
      </c>
      <c r="H22" s="31">
        <v>10</v>
      </c>
      <c r="I22" s="31">
        <v>9.68</v>
      </c>
      <c r="J22" s="32" t="s">
        <v>53</v>
      </c>
      <c r="K22" s="30" t="str">
        <f t="shared" ref="K22:K33" si="3">IF(G22="Fail","Fail",IF(ABS(I22-H22)/IF(H22=0,1,H22)&lt;=0.1,"Pass","Fail"))</f>
        <v>Pass</v>
      </c>
      <c r="L22" s="32" t="s">
        <v>54</v>
      </c>
      <c r="M22" s="31" t="s">
        <v>52</v>
      </c>
      <c r="N22" s="33" t="str">
        <f t="shared" ref="N22:N33" si="4">IF(AND(G22="Pass",K22="Pass",M22="Pass"),"PASS","FAIL")</f>
        <v>PASS</v>
      </c>
      <c r="O22" s="34" t="str">
        <f t="shared" ref="O22:O33" si="5">IF(N22="PASS","Release to practicum","Quarantine — do not issue to students")</f>
        <v>Release to practicum</v>
      </c>
    </row>
    <row r="23" spans="1:15" ht="23" x14ac:dyDescent="0.35">
      <c r="A23" s="35">
        <v>2</v>
      </c>
      <c r="B23" s="31" t="s">
        <v>55</v>
      </c>
      <c r="C23" s="32" t="s">
        <v>56</v>
      </c>
      <c r="D23" s="31" t="s">
        <v>106</v>
      </c>
      <c r="E23" s="31" t="s">
        <v>105</v>
      </c>
      <c r="F23" s="31">
        <v>23</v>
      </c>
      <c r="G23" s="31" t="s">
        <v>52</v>
      </c>
      <c r="H23" s="31">
        <v>1</v>
      </c>
      <c r="I23" s="31">
        <v>0.91</v>
      </c>
      <c r="J23" s="32" t="s">
        <v>53</v>
      </c>
      <c r="K23" s="30" t="str">
        <f t="shared" si="3"/>
        <v>Pass</v>
      </c>
      <c r="L23" s="32" t="s">
        <v>54</v>
      </c>
      <c r="M23" s="31" t="s">
        <v>52</v>
      </c>
      <c r="N23" s="33" t="str">
        <f t="shared" si="4"/>
        <v>PASS</v>
      </c>
      <c r="O23" s="34" t="str">
        <f t="shared" si="5"/>
        <v>Release to practicum</v>
      </c>
    </row>
    <row r="24" spans="1:15" ht="23" x14ac:dyDescent="0.35">
      <c r="A24" s="30">
        <v>3</v>
      </c>
      <c r="B24" s="31" t="s">
        <v>58</v>
      </c>
      <c r="C24" s="32" t="s">
        <v>59</v>
      </c>
      <c r="D24" s="31" t="s">
        <v>107</v>
      </c>
      <c r="E24" s="31" t="s">
        <v>105</v>
      </c>
      <c r="F24" s="31">
        <v>20</v>
      </c>
      <c r="G24" s="31" t="s">
        <v>52</v>
      </c>
      <c r="H24" s="31">
        <v>100</v>
      </c>
      <c r="I24" s="31">
        <v>111.98</v>
      </c>
      <c r="J24" s="32" t="s">
        <v>61</v>
      </c>
      <c r="K24" s="30" t="str">
        <f t="shared" si="3"/>
        <v>Fail</v>
      </c>
      <c r="L24" s="32" t="s">
        <v>62</v>
      </c>
      <c r="M24" s="31" t="s">
        <v>52</v>
      </c>
      <c r="N24" s="33" t="str">
        <f t="shared" si="4"/>
        <v>FAIL</v>
      </c>
      <c r="O24" s="34" t="str">
        <f t="shared" si="5"/>
        <v>Quarantine — do not issue to students</v>
      </c>
    </row>
    <row r="25" spans="1:15" x14ac:dyDescent="0.35">
      <c r="A25" s="35">
        <v>4</v>
      </c>
      <c r="B25" s="31" t="s">
        <v>63</v>
      </c>
      <c r="C25" s="32" t="s">
        <v>64</v>
      </c>
      <c r="D25" s="31" t="s">
        <v>108</v>
      </c>
      <c r="E25" s="31" t="s">
        <v>105</v>
      </c>
      <c r="F25" s="31">
        <v>21</v>
      </c>
      <c r="G25" s="31" t="s">
        <v>52</v>
      </c>
      <c r="H25" s="31">
        <v>10</v>
      </c>
      <c r="I25" s="31">
        <v>10.87</v>
      </c>
      <c r="J25" s="32" t="s">
        <v>61</v>
      </c>
      <c r="K25" s="30" t="str">
        <f t="shared" si="3"/>
        <v>Pass</v>
      </c>
      <c r="L25" s="32" t="s">
        <v>54</v>
      </c>
      <c r="M25" s="31" t="s">
        <v>52</v>
      </c>
      <c r="N25" s="33" t="str">
        <f t="shared" si="4"/>
        <v>PASS</v>
      </c>
      <c r="O25" s="34" t="str">
        <f t="shared" si="5"/>
        <v>Release to practicum</v>
      </c>
    </row>
    <row r="26" spans="1:15" x14ac:dyDescent="0.35">
      <c r="A26" s="30">
        <v>5</v>
      </c>
      <c r="B26" s="31" t="s">
        <v>66</v>
      </c>
      <c r="C26" s="32" t="s">
        <v>67</v>
      </c>
      <c r="D26" s="31" t="s">
        <v>109</v>
      </c>
      <c r="E26" s="31" t="s">
        <v>110</v>
      </c>
      <c r="F26" s="31">
        <v>18</v>
      </c>
      <c r="G26" s="31" t="s">
        <v>52</v>
      </c>
      <c r="H26" s="31">
        <v>0.7</v>
      </c>
      <c r="I26" s="31">
        <v>0.63</v>
      </c>
      <c r="J26" s="32" t="s">
        <v>70</v>
      </c>
      <c r="K26" s="30" t="str">
        <f t="shared" si="3"/>
        <v>Pass</v>
      </c>
      <c r="L26" s="32" t="s">
        <v>71</v>
      </c>
      <c r="M26" s="31" t="s">
        <v>52</v>
      </c>
      <c r="N26" s="33" t="str">
        <f t="shared" si="4"/>
        <v>PASS</v>
      </c>
      <c r="O26" s="34" t="str">
        <f t="shared" si="5"/>
        <v>Release to practicum</v>
      </c>
    </row>
    <row r="27" spans="1:15" x14ac:dyDescent="0.35">
      <c r="A27" s="35">
        <v>6</v>
      </c>
      <c r="B27" s="31" t="s">
        <v>72</v>
      </c>
      <c r="C27" s="32" t="s">
        <v>73</v>
      </c>
      <c r="D27" s="31" t="s">
        <v>111</v>
      </c>
      <c r="E27" s="31" t="s">
        <v>110</v>
      </c>
      <c r="F27" s="31">
        <v>21</v>
      </c>
      <c r="G27" s="31" t="s">
        <v>52</v>
      </c>
      <c r="H27" s="31">
        <v>0.6</v>
      </c>
      <c r="I27" s="31">
        <v>0.56000000000000005</v>
      </c>
      <c r="J27" s="32" t="s">
        <v>70</v>
      </c>
      <c r="K27" s="30" t="str">
        <f t="shared" si="3"/>
        <v>Pass</v>
      </c>
      <c r="L27" s="32" t="s">
        <v>71</v>
      </c>
      <c r="M27" s="31" t="s">
        <v>52</v>
      </c>
      <c r="N27" s="33" t="str">
        <f t="shared" si="4"/>
        <v>PASS</v>
      </c>
      <c r="O27" s="34" t="str">
        <f t="shared" si="5"/>
        <v>Release to practicum</v>
      </c>
    </row>
    <row r="28" spans="1:15" x14ac:dyDescent="0.35">
      <c r="A28" s="30">
        <v>7</v>
      </c>
      <c r="B28" s="31" t="s">
        <v>76</v>
      </c>
      <c r="C28" s="32" t="s">
        <v>77</v>
      </c>
      <c r="D28" s="31" t="s">
        <v>112</v>
      </c>
      <c r="E28" s="31" t="s">
        <v>110</v>
      </c>
      <c r="F28" s="31">
        <v>25</v>
      </c>
      <c r="G28" s="31" t="s">
        <v>52</v>
      </c>
      <c r="H28" s="31">
        <v>110</v>
      </c>
      <c r="I28" s="31">
        <v>115.15</v>
      </c>
      <c r="J28" s="32" t="s">
        <v>79</v>
      </c>
      <c r="K28" s="30" t="str">
        <f t="shared" si="3"/>
        <v>Pass</v>
      </c>
      <c r="L28" s="32" t="s">
        <v>80</v>
      </c>
      <c r="M28" s="31" t="s">
        <v>52</v>
      </c>
      <c r="N28" s="33" t="str">
        <f t="shared" si="4"/>
        <v>PASS</v>
      </c>
      <c r="O28" s="34" t="str">
        <f t="shared" si="5"/>
        <v>Release to practicum</v>
      </c>
    </row>
    <row r="29" spans="1:15" x14ac:dyDescent="0.35">
      <c r="A29" s="35">
        <v>8</v>
      </c>
      <c r="B29" s="31" t="s">
        <v>81</v>
      </c>
      <c r="C29" s="32" t="s">
        <v>82</v>
      </c>
      <c r="D29" s="31" t="s">
        <v>113</v>
      </c>
      <c r="E29" s="31" t="s">
        <v>110</v>
      </c>
      <c r="F29" s="31">
        <v>19</v>
      </c>
      <c r="G29" s="31" t="s">
        <v>52</v>
      </c>
      <c r="H29" s="31">
        <v>110</v>
      </c>
      <c r="I29" s="31">
        <v>114.33</v>
      </c>
      <c r="J29" s="32" t="s">
        <v>79</v>
      </c>
      <c r="K29" s="30" t="str">
        <f t="shared" si="3"/>
        <v>Pass</v>
      </c>
      <c r="L29" s="32" t="s">
        <v>80</v>
      </c>
      <c r="M29" s="31" t="s">
        <v>52</v>
      </c>
      <c r="N29" s="33" t="str">
        <f t="shared" si="4"/>
        <v>PASS</v>
      </c>
      <c r="O29" s="34" t="str">
        <f t="shared" si="5"/>
        <v>Release to practicum</v>
      </c>
    </row>
    <row r="30" spans="1:15" ht="23" x14ac:dyDescent="0.35">
      <c r="A30" s="30">
        <v>9</v>
      </c>
      <c r="B30" s="31" t="s">
        <v>84</v>
      </c>
      <c r="C30" s="32" t="s">
        <v>85</v>
      </c>
      <c r="D30" s="31" t="s">
        <v>114</v>
      </c>
      <c r="E30" s="31" t="s">
        <v>115</v>
      </c>
      <c r="F30" s="31">
        <v>22</v>
      </c>
      <c r="G30" s="31" t="s">
        <v>52</v>
      </c>
      <c r="H30" s="31">
        <v>5</v>
      </c>
      <c r="I30" s="31">
        <v>4.5599999999999996</v>
      </c>
      <c r="J30" s="32" t="s">
        <v>88</v>
      </c>
      <c r="K30" s="30" t="str">
        <f t="shared" si="3"/>
        <v>Pass</v>
      </c>
      <c r="L30" s="32" t="s">
        <v>89</v>
      </c>
      <c r="M30" s="31" t="s">
        <v>52</v>
      </c>
      <c r="N30" s="33" t="str">
        <f t="shared" si="4"/>
        <v>PASS</v>
      </c>
      <c r="O30" s="34" t="str">
        <f t="shared" si="5"/>
        <v>Release to practicum</v>
      </c>
    </row>
    <row r="31" spans="1:15" ht="23" x14ac:dyDescent="0.35">
      <c r="A31" s="35">
        <v>10</v>
      </c>
      <c r="B31" s="31" t="s">
        <v>90</v>
      </c>
      <c r="C31" s="32" t="s">
        <v>91</v>
      </c>
      <c r="D31" s="31" t="s">
        <v>116</v>
      </c>
      <c r="E31" s="31" t="s">
        <v>115</v>
      </c>
      <c r="F31" s="31">
        <v>24</v>
      </c>
      <c r="G31" s="31" t="s">
        <v>52</v>
      </c>
      <c r="H31" s="31">
        <v>5</v>
      </c>
      <c r="I31" s="31">
        <v>4.66</v>
      </c>
      <c r="J31" s="32" t="s">
        <v>88</v>
      </c>
      <c r="K31" s="30" t="str">
        <f t="shared" si="3"/>
        <v>Pass</v>
      </c>
      <c r="L31" s="32" t="s">
        <v>89</v>
      </c>
      <c r="M31" s="31" t="s">
        <v>52</v>
      </c>
      <c r="N31" s="33" t="str">
        <f t="shared" si="4"/>
        <v>PASS</v>
      </c>
      <c r="O31" s="34" t="str">
        <f t="shared" si="5"/>
        <v>Release to practicum</v>
      </c>
    </row>
    <row r="32" spans="1:15" x14ac:dyDescent="0.35">
      <c r="A32" s="30">
        <v>11</v>
      </c>
      <c r="B32" s="31" t="s">
        <v>93</v>
      </c>
      <c r="C32" s="32" t="s">
        <v>94</v>
      </c>
      <c r="D32" s="31" t="s">
        <v>117</v>
      </c>
      <c r="E32" s="31" t="s">
        <v>115</v>
      </c>
      <c r="F32" s="31">
        <v>18</v>
      </c>
      <c r="G32" s="31" t="s">
        <v>52</v>
      </c>
      <c r="H32" s="31">
        <v>5</v>
      </c>
      <c r="I32" s="31">
        <v>4.67</v>
      </c>
      <c r="J32" s="32" t="s">
        <v>96</v>
      </c>
      <c r="K32" s="30" t="str">
        <f t="shared" si="3"/>
        <v>Pass</v>
      </c>
      <c r="L32" s="32" t="s">
        <v>97</v>
      </c>
      <c r="M32" s="31" t="s">
        <v>52</v>
      </c>
      <c r="N32" s="33" t="str">
        <f t="shared" si="4"/>
        <v>PASS</v>
      </c>
      <c r="O32" s="34" t="str">
        <f t="shared" si="5"/>
        <v>Release to practicum</v>
      </c>
    </row>
    <row r="33" spans="1:15" x14ac:dyDescent="0.35">
      <c r="A33" s="35">
        <v>12</v>
      </c>
      <c r="B33" s="31" t="s">
        <v>98</v>
      </c>
      <c r="C33" s="32" t="s">
        <v>99</v>
      </c>
      <c r="D33" s="31" t="s">
        <v>118</v>
      </c>
      <c r="E33" s="31" t="s">
        <v>115</v>
      </c>
      <c r="F33" s="31">
        <v>19</v>
      </c>
      <c r="G33" s="31" t="s">
        <v>52</v>
      </c>
      <c r="H33" s="31">
        <v>10</v>
      </c>
      <c r="I33" s="31">
        <v>10.43</v>
      </c>
      <c r="J33" s="32" t="s">
        <v>101</v>
      </c>
      <c r="K33" s="30" t="str">
        <f t="shared" si="3"/>
        <v>Pass</v>
      </c>
      <c r="L33" s="32" t="s">
        <v>102</v>
      </c>
      <c r="M33" s="31" t="s">
        <v>52</v>
      </c>
      <c r="N33" s="33" t="str">
        <f t="shared" si="4"/>
        <v>PASS</v>
      </c>
      <c r="O33" s="34" t="str">
        <f t="shared" si="5"/>
        <v>Release to practicum</v>
      </c>
    </row>
    <row r="35" spans="1:15" ht="15.75" customHeight="1" x14ac:dyDescent="0.35">
      <c r="A35" s="3" t="s">
        <v>119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ht="15" customHeight="1" x14ac:dyDescent="0.35">
      <c r="A36" s="30">
        <v>1</v>
      </c>
      <c r="B36" s="31" t="s">
        <v>48</v>
      </c>
      <c r="C36" s="32" t="s">
        <v>49</v>
      </c>
      <c r="D36" s="31" t="s">
        <v>120</v>
      </c>
      <c r="E36" s="31" t="s">
        <v>121</v>
      </c>
      <c r="F36" s="31">
        <v>21</v>
      </c>
      <c r="G36" s="31" t="s">
        <v>52</v>
      </c>
      <c r="H36" s="31">
        <v>10</v>
      </c>
      <c r="I36" s="31">
        <v>10.039999999999999</v>
      </c>
      <c r="J36" s="32" t="s">
        <v>53</v>
      </c>
      <c r="K36" s="30" t="str">
        <f t="shared" ref="K36:K47" si="6">IF(G36="Fail","Fail",IF(ABS(I36-H36)/IF(H36=0,1,H36)&lt;=0.1,"Pass","Fail"))</f>
        <v>Pass</v>
      </c>
      <c r="L36" s="32" t="s">
        <v>54</v>
      </c>
      <c r="M36" s="31" t="s">
        <v>52</v>
      </c>
      <c r="N36" s="33" t="str">
        <f t="shared" ref="N36:N47" si="7">IF(AND(G36="Pass",K36="Pass",M36="Pass"),"PASS","FAIL")</f>
        <v>PASS</v>
      </c>
      <c r="O36" s="34" t="str">
        <f t="shared" ref="O36:O47" si="8">IF(N36="PASS","Release to practicum","Quarantine — do not issue to students")</f>
        <v>Release to practicum</v>
      </c>
    </row>
    <row r="37" spans="1:15" ht="15" customHeight="1" x14ac:dyDescent="0.35">
      <c r="A37" s="35">
        <v>2</v>
      </c>
      <c r="B37" s="31" t="s">
        <v>55</v>
      </c>
      <c r="C37" s="32" t="s">
        <v>56</v>
      </c>
      <c r="D37" s="31" t="s">
        <v>122</v>
      </c>
      <c r="E37" s="31" t="s">
        <v>121</v>
      </c>
      <c r="F37" s="31">
        <v>21</v>
      </c>
      <c r="G37" s="31" t="s">
        <v>52</v>
      </c>
      <c r="H37" s="31">
        <v>1</v>
      </c>
      <c r="I37" s="31">
        <v>0.9</v>
      </c>
      <c r="J37" s="32" t="s">
        <v>53</v>
      </c>
      <c r="K37" s="30" t="str">
        <f t="shared" si="6"/>
        <v>Pass</v>
      </c>
      <c r="L37" s="32" t="s">
        <v>54</v>
      </c>
      <c r="M37" s="31" t="s">
        <v>52</v>
      </c>
      <c r="N37" s="33" t="str">
        <f t="shared" si="7"/>
        <v>PASS</v>
      </c>
      <c r="O37" s="34" t="str">
        <f t="shared" si="8"/>
        <v>Release to practicum</v>
      </c>
    </row>
    <row r="38" spans="1:15" ht="15" customHeight="1" x14ac:dyDescent="0.35">
      <c r="A38" s="30">
        <v>3</v>
      </c>
      <c r="B38" s="31" t="s">
        <v>58</v>
      </c>
      <c r="C38" s="32" t="s">
        <v>59</v>
      </c>
      <c r="D38" s="31" t="s">
        <v>123</v>
      </c>
      <c r="E38" s="31" t="s">
        <v>121</v>
      </c>
      <c r="F38" s="31">
        <v>20</v>
      </c>
      <c r="G38" s="31" t="s">
        <v>52</v>
      </c>
      <c r="H38" s="31">
        <v>100</v>
      </c>
      <c r="I38" s="31">
        <v>105.56</v>
      </c>
      <c r="J38" s="32" t="s">
        <v>61</v>
      </c>
      <c r="K38" s="30" t="str">
        <f t="shared" si="6"/>
        <v>Pass</v>
      </c>
      <c r="L38" s="32" t="s">
        <v>62</v>
      </c>
      <c r="M38" s="31" t="s">
        <v>52</v>
      </c>
      <c r="N38" s="33" t="str">
        <f t="shared" si="7"/>
        <v>PASS</v>
      </c>
      <c r="O38" s="34" t="str">
        <f t="shared" si="8"/>
        <v>Release to practicum</v>
      </c>
    </row>
    <row r="39" spans="1:15" ht="23" x14ac:dyDescent="0.35">
      <c r="A39" s="35">
        <v>4</v>
      </c>
      <c r="B39" s="31" t="s">
        <v>63</v>
      </c>
      <c r="C39" s="32" t="s">
        <v>64</v>
      </c>
      <c r="D39" s="31" t="s">
        <v>124</v>
      </c>
      <c r="E39" s="31" t="s">
        <v>121</v>
      </c>
      <c r="F39" s="31">
        <v>18</v>
      </c>
      <c r="G39" s="31" t="s">
        <v>52</v>
      </c>
      <c r="H39" s="31">
        <v>10</v>
      </c>
      <c r="I39" s="31">
        <v>11.06</v>
      </c>
      <c r="J39" s="32" t="s">
        <v>61</v>
      </c>
      <c r="K39" s="30" t="str">
        <f t="shared" si="6"/>
        <v>Fail</v>
      </c>
      <c r="L39" s="32" t="s">
        <v>54</v>
      </c>
      <c r="M39" s="31" t="s">
        <v>52</v>
      </c>
      <c r="N39" s="33" t="str">
        <f t="shared" si="7"/>
        <v>FAIL</v>
      </c>
      <c r="O39" s="34" t="str">
        <f t="shared" si="8"/>
        <v>Quarantine — do not issue to students</v>
      </c>
    </row>
    <row r="40" spans="1:15" ht="15" customHeight="1" x14ac:dyDescent="0.35">
      <c r="A40" s="30">
        <v>5</v>
      </c>
      <c r="B40" s="31" t="s">
        <v>66</v>
      </c>
      <c r="C40" s="32" t="s">
        <v>67</v>
      </c>
      <c r="D40" s="31" t="s">
        <v>125</v>
      </c>
      <c r="E40" s="31" t="s">
        <v>126</v>
      </c>
      <c r="F40" s="31">
        <v>18</v>
      </c>
      <c r="G40" s="31" t="s">
        <v>52</v>
      </c>
      <c r="H40" s="31">
        <v>0.7</v>
      </c>
      <c r="I40" s="31">
        <v>0.65</v>
      </c>
      <c r="J40" s="32" t="s">
        <v>70</v>
      </c>
      <c r="K40" s="30" t="str">
        <f t="shared" si="6"/>
        <v>Pass</v>
      </c>
      <c r="L40" s="32" t="s">
        <v>71</v>
      </c>
      <c r="M40" s="31" t="s">
        <v>52</v>
      </c>
      <c r="N40" s="33" t="str">
        <f t="shared" si="7"/>
        <v>PASS</v>
      </c>
      <c r="O40" s="34" t="str">
        <f t="shared" si="8"/>
        <v>Release to practicum</v>
      </c>
    </row>
    <row r="41" spans="1:15" ht="15" customHeight="1" x14ac:dyDescent="0.35">
      <c r="A41" s="35">
        <v>6</v>
      </c>
      <c r="B41" s="31" t="s">
        <v>72</v>
      </c>
      <c r="C41" s="32" t="s">
        <v>73</v>
      </c>
      <c r="D41" s="31" t="s">
        <v>127</v>
      </c>
      <c r="E41" s="31" t="s">
        <v>126</v>
      </c>
      <c r="F41" s="31">
        <v>21</v>
      </c>
      <c r="G41" s="31" t="s">
        <v>52</v>
      </c>
      <c r="H41" s="31">
        <v>0.6</v>
      </c>
      <c r="I41" s="31">
        <v>0.55000000000000004</v>
      </c>
      <c r="J41" s="32" t="s">
        <v>70</v>
      </c>
      <c r="K41" s="30" t="str">
        <f t="shared" si="6"/>
        <v>Pass</v>
      </c>
      <c r="L41" s="32" t="s">
        <v>71</v>
      </c>
      <c r="M41" s="31" t="s">
        <v>52</v>
      </c>
      <c r="N41" s="33" t="str">
        <f t="shared" si="7"/>
        <v>PASS</v>
      </c>
      <c r="O41" s="34" t="str">
        <f t="shared" si="8"/>
        <v>Release to practicum</v>
      </c>
    </row>
    <row r="42" spans="1:15" ht="15" customHeight="1" x14ac:dyDescent="0.35">
      <c r="A42" s="30">
        <v>7</v>
      </c>
      <c r="B42" s="31" t="s">
        <v>76</v>
      </c>
      <c r="C42" s="32" t="s">
        <v>77</v>
      </c>
      <c r="D42" s="31" t="s">
        <v>128</v>
      </c>
      <c r="E42" s="31" t="s">
        <v>126</v>
      </c>
      <c r="F42" s="31">
        <v>23</v>
      </c>
      <c r="G42" s="31" t="s">
        <v>52</v>
      </c>
      <c r="H42" s="31">
        <v>110</v>
      </c>
      <c r="I42" s="31">
        <v>101.82</v>
      </c>
      <c r="J42" s="32" t="s">
        <v>79</v>
      </c>
      <c r="K42" s="30" t="str">
        <f t="shared" si="6"/>
        <v>Pass</v>
      </c>
      <c r="L42" s="32" t="s">
        <v>80</v>
      </c>
      <c r="M42" s="31" t="s">
        <v>52</v>
      </c>
      <c r="N42" s="33" t="str">
        <f t="shared" si="7"/>
        <v>PASS</v>
      </c>
      <c r="O42" s="34" t="str">
        <f t="shared" si="8"/>
        <v>Release to practicum</v>
      </c>
    </row>
    <row r="43" spans="1:15" ht="15" customHeight="1" x14ac:dyDescent="0.35">
      <c r="A43" s="35">
        <v>8</v>
      </c>
      <c r="B43" s="31" t="s">
        <v>81</v>
      </c>
      <c r="C43" s="32" t="s">
        <v>82</v>
      </c>
      <c r="D43" s="31" t="s">
        <v>129</v>
      </c>
      <c r="E43" s="31" t="s">
        <v>126</v>
      </c>
      <c r="F43" s="31">
        <v>21</v>
      </c>
      <c r="G43" s="31" t="s">
        <v>52</v>
      </c>
      <c r="H43" s="31">
        <v>110</v>
      </c>
      <c r="I43" s="31">
        <v>113.55</v>
      </c>
      <c r="J43" s="32" t="s">
        <v>79</v>
      </c>
      <c r="K43" s="30" t="str">
        <f t="shared" si="6"/>
        <v>Pass</v>
      </c>
      <c r="L43" s="32" t="s">
        <v>80</v>
      </c>
      <c r="M43" s="31" t="s">
        <v>52</v>
      </c>
      <c r="N43" s="33" t="str">
        <f t="shared" si="7"/>
        <v>PASS</v>
      </c>
      <c r="O43" s="34" t="str">
        <f t="shared" si="8"/>
        <v>Release to practicum</v>
      </c>
    </row>
    <row r="44" spans="1:15" ht="15" customHeight="1" x14ac:dyDescent="0.35">
      <c r="A44" s="30">
        <v>9</v>
      </c>
      <c r="B44" s="31" t="s">
        <v>84</v>
      </c>
      <c r="C44" s="32" t="s">
        <v>85</v>
      </c>
      <c r="D44" s="31" t="s">
        <v>130</v>
      </c>
      <c r="E44" s="31" t="s">
        <v>131</v>
      </c>
      <c r="F44" s="31">
        <v>20</v>
      </c>
      <c r="G44" s="31" t="s">
        <v>52</v>
      </c>
      <c r="H44" s="31">
        <v>5</v>
      </c>
      <c r="I44" s="31">
        <v>4.9400000000000004</v>
      </c>
      <c r="J44" s="32" t="s">
        <v>88</v>
      </c>
      <c r="K44" s="30" t="str">
        <f t="shared" si="6"/>
        <v>Pass</v>
      </c>
      <c r="L44" s="32" t="s">
        <v>89</v>
      </c>
      <c r="M44" s="31" t="s">
        <v>52</v>
      </c>
      <c r="N44" s="33" t="str">
        <f t="shared" si="7"/>
        <v>PASS</v>
      </c>
      <c r="O44" s="34" t="str">
        <f t="shared" si="8"/>
        <v>Release to practicum</v>
      </c>
    </row>
    <row r="45" spans="1:15" ht="15" customHeight="1" x14ac:dyDescent="0.35">
      <c r="A45" s="35">
        <v>10</v>
      </c>
      <c r="B45" s="31" t="s">
        <v>90</v>
      </c>
      <c r="C45" s="32" t="s">
        <v>91</v>
      </c>
      <c r="D45" s="31" t="s">
        <v>132</v>
      </c>
      <c r="E45" s="31" t="s">
        <v>131</v>
      </c>
      <c r="F45" s="31">
        <v>23</v>
      </c>
      <c r="G45" s="31" t="s">
        <v>52</v>
      </c>
      <c r="H45" s="31">
        <v>5</v>
      </c>
      <c r="I45" s="31">
        <v>4.88</v>
      </c>
      <c r="J45" s="32" t="s">
        <v>88</v>
      </c>
      <c r="K45" s="30" t="str">
        <f t="shared" si="6"/>
        <v>Pass</v>
      </c>
      <c r="L45" s="32" t="s">
        <v>89</v>
      </c>
      <c r="M45" s="31" t="s">
        <v>52</v>
      </c>
      <c r="N45" s="33" t="str">
        <f t="shared" si="7"/>
        <v>PASS</v>
      </c>
      <c r="O45" s="34" t="str">
        <f t="shared" si="8"/>
        <v>Release to practicum</v>
      </c>
    </row>
    <row r="46" spans="1:15" ht="15" customHeight="1" x14ac:dyDescent="0.35">
      <c r="A46" s="30">
        <v>11</v>
      </c>
      <c r="B46" s="31" t="s">
        <v>93</v>
      </c>
      <c r="C46" s="32" t="s">
        <v>94</v>
      </c>
      <c r="D46" s="31" t="s">
        <v>133</v>
      </c>
      <c r="E46" s="31" t="s">
        <v>131</v>
      </c>
      <c r="F46" s="31">
        <v>21</v>
      </c>
      <c r="G46" s="31" t="s">
        <v>52</v>
      </c>
      <c r="H46" s="31">
        <v>5</v>
      </c>
      <c r="I46" s="31">
        <v>4.54</v>
      </c>
      <c r="J46" s="32" t="s">
        <v>96</v>
      </c>
      <c r="K46" s="30" t="str">
        <f t="shared" si="6"/>
        <v>Pass</v>
      </c>
      <c r="L46" s="32" t="s">
        <v>97</v>
      </c>
      <c r="M46" s="31" t="s">
        <v>52</v>
      </c>
      <c r="N46" s="33" t="str">
        <f t="shared" si="7"/>
        <v>PASS</v>
      </c>
      <c r="O46" s="34" t="str">
        <f t="shared" si="8"/>
        <v>Release to practicum</v>
      </c>
    </row>
    <row r="47" spans="1:15" ht="23" x14ac:dyDescent="0.35">
      <c r="A47" s="35">
        <v>12</v>
      </c>
      <c r="B47" s="31" t="s">
        <v>98</v>
      </c>
      <c r="C47" s="32" t="s">
        <v>99</v>
      </c>
      <c r="D47" s="31" t="s">
        <v>134</v>
      </c>
      <c r="E47" s="31" t="s">
        <v>131</v>
      </c>
      <c r="F47" s="31">
        <v>25</v>
      </c>
      <c r="G47" s="31" t="s">
        <v>52</v>
      </c>
      <c r="H47" s="31">
        <v>10</v>
      </c>
      <c r="I47" s="31">
        <v>10.38</v>
      </c>
      <c r="J47" s="32" t="s">
        <v>101</v>
      </c>
      <c r="K47" s="30" t="str">
        <f t="shared" si="6"/>
        <v>Pass</v>
      </c>
      <c r="L47" s="32" t="s">
        <v>102</v>
      </c>
      <c r="M47" s="31" t="s">
        <v>75</v>
      </c>
      <c r="N47" s="33" t="str">
        <f t="shared" si="7"/>
        <v>FAIL</v>
      </c>
      <c r="O47" s="34" t="str">
        <f t="shared" si="8"/>
        <v>Quarantine — do not issue to students</v>
      </c>
    </row>
    <row r="49" spans="1:15" ht="15.75" customHeight="1" x14ac:dyDescent="0.35">
      <c r="A49" s="3" t="s">
        <v>135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5" customHeight="1" x14ac:dyDescent="0.35">
      <c r="A50" s="30">
        <v>1</v>
      </c>
      <c r="B50" s="31" t="s">
        <v>48</v>
      </c>
      <c r="C50" s="32" t="s">
        <v>49</v>
      </c>
      <c r="D50" s="31" t="s">
        <v>136</v>
      </c>
      <c r="E50" s="31" t="s">
        <v>137</v>
      </c>
      <c r="F50" s="31">
        <v>18</v>
      </c>
      <c r="G50" s="31" t="s">
        <v>52</v>
      </c>
      <c r="H50" s="31">
        <v>10</v>
      </c>
      <c r="I50" s="31">
        <v>10.73</v>
      </c>
      <c r="J50" s="32" t="s">
        <v>53</v>
      </c>
      <c r="K50" s="30" t="str">
        <f t="shared" ref="K50:K61" si="9">IF(G50="Fail","Fail",IF(ABS(I50-H50)/IF(H50=0,1,H50)&lt;=0.1,"Pass","Fail"))</f>
        <v>Pass</v>
      </c>
      <c r="L50" s="32" t="s">
        <v>54</v>
      </c>
      <c r="M50" s="31" t="s">
        <v>52</v>
      </c>
      <c r="N50" s="33" t="str">
        <f t="shared" ref="N50:N61" si="10">IF(AND(G50="Pass",K50="Pass",M50="Pass"),"PASS","FAIL")</f>
        <v>PASS</v>
      </c>
      <c r="O50" s="34" t="str">
        <f t="shared" ref="O50:O61" si="11">IF(N50="PASS","Release to practicum","Quarantine — do not issue to students")</f>
        <v>Release to practicum</v>
      </c>
    </row>
    <row r="51" spans="1:15" ht="23" x14ac:dyDescent="0.35">
      <c r="A51" s="35">
        <v>2</v>
      </c>
      <c r="B51" s="31" t="s">
        <v>55</v>
      </c>
      <c r="C51" s="32" t="s">
        <v>56</v>
      </c>
      <c r="D51" s="31" t="s">
        <v>138</v>
      </c>
      <c r="E51" s="31" t="s">
        <v>137</v>
      </c>
      <c r="F51" s="31">
        <v>22</v>
      </c>
      <c r="G51" s="31" t="s">
        <v>52</v>
      </c>
      <c r="H51" s="31">
        <v>1</v>
      </c>
      <c r="I51" s="31">
        <v>1.1100000000000001</v>
      </c>
      <c r="J51" s="32" t="s">
        <v>53</v>
      </c>
      <c r="K51" s="30" t="str">
        <f t="shared" si="9"/>
        <v>Fail</v>
      </c>
      <c r="L51" s="32" t="s">
        <v>54</v>
      </c>
      <c r="M51" s="31" t="s">
        <v>52</v>
      </c>
      <c r="N51" s="33" t="str">
        <f t="shared" si="10"/>
        <v>FAIL</v>
      </c>
      <c r="O51" s="34" t="str">
        <f t="shared" si="11"/>
        <v>Quarantine — do not issue to students</v>
      </c>
    </row>
    <row r="52" spans="1:15" x14ac:dyDescent="0.35">
      <c r="A52" s="30">
        <v>3</v>
      </c>
      <c r="B52" s="31" t="s">
        <v>58</v>
      </c>
      <c r="C52" s="32" t="s">
        <v>59</v>
      </c>
      <c r="D52" s="31" t="s">
        <v>139</v>
      </c>
      <c r="E52" s="31" t="s">
        <v>137</v>
      </c>
      <c r="F52" s="31">
        <v>24</v>
      </c>
      <c r="G52" s="31" t="s">
        <v>52</v>
      </c>
      <c r="H52" s="31">
        <v>100</v>
      </c>
      <c r="I52" s="31">
        <v>93.4</v>
      </c>
      <c r="J52" s="32" t="s">
        <v>61</v>
      </c>
      <c r="K52" s="30" t="str">
        <f t="shared" si="9"/>
        <v>Pass</v>
      </c>
      <c r="L52" s="32" t="s">
        <v>62</v>
      </c>
      <c r="M52" s="31" t="s">
        <v>52</v>
      </c>
      <c r="N52" s="33" t="str">
        <f t="shared" si="10"/>
        <v>PASS</v>
      </c>
      <c r="O52" s="34" t="str">
        <f t="shared" si="11"/>
        <v>Release to practicum</v>
      </c>
    </row>
    <row r="53" spans="1:15" ht="23" x14ac:dyDescent="0.35">
      <c r="A53" s="35">
        <v>4</v>
      </c>
      <c r="B53" s="31" t="s">
        <v>63</v>
      </c>
      <c r="C53" s="32" t="s">
        <v>64</v>
      </c>
      <c r="D53" s="31" t="s">
        <v>140</v>
      </c>
      <c r="E53" s="31" t="s">
        <v>137</v>
      </c>
      <c r="F53" s="31">
        <v>23</v>
      </c>
      <c r="G53" s="31" t="s">
        <v>52</v>
      </c>
      <c r="H53" s="31">
        <v>10</v>
      </c>
      <c r="I53" s="31">
        <v>9.1199999999999992</v>
      </c>
      <c r="J53" s="32" t="s">
        <v>61</v>
      </c>
      <c r="K53" s="30" t="str">
        <f t="shared" si="9"/>
        <v>Pass</v>
      </c>
      <c r="L53" s="32" t="s">
        <v>54</v>
      </c>
      <c r="M53" s="31" t="s">
        <v>75</v>
      </c>
      <c r="N53" s="33" t="str">
        <f t="shared" si="10"/>
        <v>FAIL</v>
      </c>
      <c r="O53" s="34" t="str">
        <f t="shared" si="11"/>
        <v>Quarantine — do not issue to students</v>
      </c>
    </row>
    <row r="54" spans="1:15" ht="15" customHeight="1" x14ac:dyDescent="0.35">
      <c r="A54" s="30">
        <v>5</v>
      </c>
      <c r="B54" s="31" t="s">
        <v>66</v>
      </c>
      <c r="C54" s="32" t="s">
        <v>67</v>
      </c>
      <c r="D54" s="31" t="s">
        <v>141</v>
      </c>
      <c r="E54" s="31" t="s">
        <v>142</v>
      </c>
      <c r="F54" s="31">
        <v>25</v>
      </c>
      <c r="G54" s="31" t="s">
        <v>52</v>
      </c>
      <c r="H54" s="31">
        <v>0.7</v>
      </c>
      <c r="I54" s="31">
        <v>0.66</v>
      </c>
      <c r="J54" s="32" t="s">
        <v>70</v>
      </c>
      <c r="K54" s="30" t="str">
        <f t="shared" si="9"/>
        <v>Pass</v>
      </c>
      <c r="L54" s="32" t="s">
        <v>71</v>
      </c>
      <c r="M54" s="31" t="s">
        <v>52</v>
      </c>
      <c r="N54" s="33" t="str">
        <f t="shared" si="10"/>
        <v>PASS</v>
      </c>
      <c r="O54" s="34" t="str">
        <f t="shared" si="11"/>
        <v>Release to practicum</v>
      </c>
    </row>
    <row r="55" spans="1:15" ht="15" customHeight="1" x14ac:dyDescent="0.35">
      <c r="A55" s="35">
        <v>6</v>
      </c>
      <c r="B55" s="31" t="s">
        <v>72</v>
      </c>
      <c r="C55" s="32" t="s">
        <v>73</v>
      </c>
      <c r="D55" s="31" t="s">
        <v>143</v>
      </c>
      <c r="E55" s="31" t="s">
        <v>142</v>
      </c>
      <c r="F55" s="31">
        <v>19</v>
      </c>
      <c r="G55" s="31" t="s">
        <v>52</v>
      </c>
      <c r="H55" s="31">
        <v>0.6</v>
      </c>
      <c r="I55" s="31">
        <v>0.62</v>
      </c>
      <c r="J55" s="32" t="s">
        <v>70</v>
      </c>
      <c r="K55" s="30" t="str">
        <f t="shared" si="9"/>
        <v>Pass</v>
      </c>
      <c r="L55" s="32" t="s">
        <v>71</v>
      </c>
      <c r="M55" s="31" t="s">
        <v>52</v>
      </c>
      <c r="N55" s="33" t="str">
        <f t="shared" si="10"/>
        <v>PASS</v>
      </c>
      <c r="O55" s="34" t="str">
        <f t="shared" si="11"/>
        <v>Release to practicum</v>
      </c>
    </row>
    <row r="56" spans="1:15" ht="15" customHeight="1" x14ac:dyDescent="0.35">
      <c r="A56" s="30">
        <v>7</v>
      </c>
      <c r="B56" s="31" t="s">
        <v>76</v>
      </c>
      <c r="C56" s="32" t="s">
        <v>77</v>
      </c>
      <c r="D56" s="31" t="s">
        <v>144</v>
      </c>
      <c r="E56" s="31" t="s">
        <v>142</v>
      </c>
      <c r="F56" s="31">
        <v>19</v>
      </c>
      <c r="G56" s="31" t="s">
        <v>52</v>
      </c>
      <c r="H56" s="31">
        <v>110</v>
      </c>
      <c r="I56" s="31">
        <v>113.61</v>
      </c>
      <c r="J56" s="32" t="s">
        <v>79</v>
      </c>
      <c r="K56" s="30" t="str">
        <f t="shared" si="9"/>
        <v>Pass</v>
      </c>
      <c r="L56" s="32" t="s">
        <v>80</v>
      </c>
      <c r="M56" s="31" t="s">
        <v>52</v>
      </c>
      <c r="N56" s="33" t="str">
        <f t="shared" si="10"/>
        <v>PASS</v>
      </c>
      <c r="O56" s="34" t="str">
        <f t="shared" si="11"/>
        <v>Release to practicum</v>
      </c>
    </row>
    <row r="57" spans="1:15" ht="15" customHeight="1" x14ac:dyDescent="0.35">
      <c r="A57" s="35">
        <v>8</v>
      </c>
      <c r="B57" s="31" t="s">
        <v>81</v>
      </c>
      <c r="C57" s="32" t="s">
        <v>82</v>
      </c>
      <c r="D57" s="31" t="s">
        <v>145</v>
      </c>
      <c r="E57" s="31" t="s">
        <v>142</v>
      </c>
      <c r="F57" s="31">
        <v>22</v>
      </c>
      <c r="G57" s="31" t="s">
        <v>52</v>
      </c>
      <c r="H57" s="31">
        <v>110</v>
      </c>
      <c r="I57" s="31">
        <v>120.39</v>
      </c>
      <c r="J57" s="32" t="s">
        <v>79</v>
      </c>
      <c r="K57" s="30" t="str">
        <f t="shared" si="9"/>
        <v>Pass</v>
      </c>
      <c r="L57" s="32" t="s">
        <v>80</v>
      </c>
      <c r="M57" s="31" t="s">
        <v>52</v>
      </c>
      <c r="N57" s="33" t="str">
        <f t="shared" si="10"/>
        <v>PASS</v>
      </c>
      <c r="O57" s="34" t="str">
        <f t="shared" si="11"/>
        <v>Release to practicum</v>
      </c>
    </row>
    <row r="58" spans="1:15" ht="15" customHeight="1" x14ac:dyDescent="0.35">
      <c r="A58" s="30">
        <v>9</v>
      </c>
      <c r="B58" s="31" t="s">
        <v>84</v>
      </c>
      <c r="C58" s="32" t="s">
        <v>85</v>
      </c>
      <c r="D58" s="31" t="s">
        <v>146</v>
      </c>
      <c r="E58" s="31" t="s">
        <v>147</v>
      </c>
      <c r="F58" s="31">
        <v>21</v>
      </c>
      <c r="G58" s="31" t="s">
        <v>52</v>
      </c>
      <c r="H58" s="31">
        <v>5</v>
      </c>
      <c r="I58" s="31">
        <v>5.05</v>
      </c>
      <c r="J58" s="32" t="s">
        <v>88</v>
      </c>
      <c r="K58" s="30" t="str">
        <f t="shared" si="9"/>
        <v>Pass</v>
      </c>
      <c r="L58" s="32" t="s">
        <v>89</v>
      </c>
      <c r="M58" s="31" t="s">
        <v>52</v>
      </c>
      <c r="N58" s="33" t="str">
        <f t="shared" si="10"/>
        <v>PASS</v>
      </c>
      <c r="O58" s="34" t="str">
        <f t="shared" si="11"/>
        <v>Release to practicum</v>
      </c>
    </row>
    <row r="59" spans="1:15" ht="15" customHeight="1" x14ac:dyDescent="0.35">
      <c r="A59" s="35">
        <v>10</v>
      </c>
      <c r="B59" s="31" t="s">
        <v>90</v>
      </c>
      <c r="C59" s="32" t="s">
        <v>91</v>
      </c>
      <c r="D59" s="31" t="s">
        <v>148</v>
      </c>
      <c r="E59" s="31" t="s">
        <v>147</v>
      </c>
      <c r="F59" s="31">
        <v>22</v>
      </c>
      <c r="G59" s="31" t="s">
        <v>52</v>
      </c>
      <c r="H59" s="31">
        <v>5</v>
      </c>
      <c r="I59" s="31">
        <v>4.92</v>
      </c>
      <c r="J59" s="32" t="s">
        <v>88</v>
      </c>
      <c r="K59" s="30" t="str">
        <f t="shared" si="9"/>
        <v>Pass</v>
      </c>
      <c r="L59" s="32" t="s">
        <v>89</v>
      </c>
      <c r="M59" s="31" t="s">
        <v>52</v>
      </c>
      <c r="N59" s="33" t="str">
        <f t="shared" si="10"/>
        <v>PASS</v>
      </c>
      <c r="O59" s="34" t="str">
        <f t="shared" si="11"/>
        <v>Release to practicum</v>
      </c>
    </row>
    <row r="60" spans="1:15" ht="15" customHeight="1" x14ac:dyDescent="0.35">
      <c r="A60" s="30">
        <v>11</v>
      </c>
      <c r="B60" s="31" t="s">
        <v>93</v>
      </c>
      <c r="C60" s="32" t="s">
        <v>94</v>
      </c>
      <c r="D60" s="31" t="s">
        <v>143</v>
      </c>
      <c r="E60" s="31" t="s">
        <v>147</v>
      </c>
      <c r="F60" s="31">
        <v>19</v>
      </c>
      <c r="G60" s="31" t="s">
        <v>52</v>
      </c>
      <c r="H60" s="31">
        <v>5</v>
      </c>
      <c r="I60" s="31">
        <v>5.32</v>
      </c>
      <c r="J60" s="32" t="s">
        <v>96</v>
      </c>
      <c r="K60" s="30" t="str">
        <f t="shared" si="9"/>
        <v>Pass</v>
      </c>
      <c r="L60" s="32" t="s">
        <v>97</v>
      </c>
      <c r="M60" s="31" t="s">
        <v>52</v>
      </c>
      <c r="N60" s="33" t="str">
        <f t="shared" si="10"/>
        <v>PASS</v>
      </c>
      <c r="O60" s="34" t="str">
        <f t="shared" si="11"/>
        <v>Release to practicum</v>
      </c>
    </row>
    <row r="61" spans="1:15" ht="15" customHeight="1" x14ac:dyDescent="0.35">
      <c r="A61" s="35">
        <v>12</v>
      </c>
      <c r="B61" s="31" t="s">
        <v>98</v>
      </c>
      <c r="C61" s="32" t="s">
        <v>99</v>
      </c>
      <c r="D61" s="31" t="s">
        <v>149</v>
      </c>
      <c r="E61" s="31" t="s">
        <v>147</v>
      </c>
      <c r="F61" s="31">
        <v>20</v>
      </c>
      <c r="G61" s="31" t="s">
        <v>52</v>
      </c>
      <c r="H61" s="31">
        <v>10</v>
      </c>
      <c r="I61" s="31">
        <v>10.18</v>
      </c>
      <c r="J61" s="32" t="s">
        <v>101</v>
      </c>
      <c r="K61" s="30" t="str">
        <f t="shared" si="9"/>
        <v>Pass</v>
      </c>
      <c r="L61" s="32" t="s">
        <v>102</v>
      </c>
      <c r="M61" s="31" t="s">
        <v>52</v>
      </c>
      <c r="N61" s="33" t="str">
        <f t="shared" si="10"/>
        <v>PASS</v>
      </c>
      <c r="O61" s="34" t="str">
        <f t="shared" si="11"/>
        <v>Release to practicum</v>
      </c>
    </row>
    <row r="64" spans="1:15" ht="15" customHeight="1" x14ac:dyDescent="0.35">
      <c r="A64" s="59" t="s">
        <v>150</v>
      </c>
      <c r="B64" s="59"/>
      <c r="C64" s="59"/>
      <c r="D64" s="59"/>
      <c r="E64" s="59"/>
      <c r="F64" s="59"/>
    </row>
    <row r="65" spans="1:15" ht="15" customHeight="1" x14ac:dyDescent="0.35">
      <c r="A65" s="12" t="s">
        <v>151</v>
      </c>
      <c r="B65" s="12"/>
      <c r="C65" s="12"/>
      <c r="D65" s="12"/>
      <c r="E65" s="12"/>
      <c r="F65" s="12"/>
      <c r="G65" s="15" t="s">
        <v>152</v>
      </c>
      <c r="H65" s="15" t="s">
        <v>153</v>
      </c>
      <c r="I65" s="15" t="s">
        <v>154</v>
      </c>
      <c r="J65" s="15" t="s">
        <v>155</v>
      </c>
      <c r="K65" s="15" t="s">
        <v>156</v>
      </c>
    </row>
    <row r="66" spans="1:15" ht="15" customHeight="1" x14ac:dyDescent="0.35">
      <c r="H66" s="37">
        <f>COUNTA(B8:B61)</f>
        <v>48</v>
      </c>
      <c r="I66" s="37">
        <f>COUNTIF(N8:N61,"PASS")</f>
        <v>42</v>
      </c>
      <c r="J66" s="37">
        <f>COUNTIF(N8:N61,"FAIL")</f>
        <v>6</v>
      </c>
      <c r="K66" s="38">
        <f>IFERROR(I66/H66,0)</f>
        <v>0.875</v>
      </c>
    </row>
    <row r="67" spans="1:15" ht="6" customHeight="1" x14ac:dyDescent="0.35"/>
    <row r="68" spans="1:15" ht="18" customHeight="1" x14ac:dyDescent="0.35">
      <c r="A68" s="60" t="s">
        <v>157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</row>
    <row r="69" spans="1:15" ht="18" customHeight="1" x14ac:dyDescent="0.35">
      <c r="A69" s="27" t="s">
        <v>13</v>
      </c>
      <c r="B69" s="2" t="s">
        <v>14</v>
      </c>
      <c r="C69" s="2"/>
      <c r="D69" s="2"/>
      <c r="E69" s="2"/>
      <c r="F69" s="2"/>
      <c r="G69" s="2"/>
      <c r="H69" s="1"/>
      <c r="I69" s="1"/>
      <c r="J69" s="1"/>
      <c r="K69" s="1"/>
      <c r="L69" s="1"/>
      <c r="M69" s="1"/>
      <c r="N69" s="1"/>
      <c r="O69" s="1"/>
    </row>
    <row r="70" spans="1:15" ht="18" customHeight="1" x14ac:dyDescent="0.35">
      <c r="A70" s="28" t="s">
        <v>158</v>
      </c>
      <c r="B70" s="50" t="s">
        <v>159</v>
      </c>
      <c r="C70" s="50"/>
      <c r="D70" s="50"/>
      <c r="E70" s="50"/>
      <c r="F70" s="50"/>
      <c r="G70" s="50"/>
      <c r="H70" s="51" t="s">
        <v>160</v>
      </c>
      <c r="I70" s="51"/>
      <c r="J70" s="51"/>
      <c r="K70" s="51"/>
      <c r="L70" s="51"/>
      <c r="M70" s="51"/>
      <c r="N70" s="51"/>
      <c r="O70" s="51"/>
    </row>
    <row r="71" spans="1:15" ht="18" customHeight="1" x14ac:dyDescent="0.35">
      <c r="A71" s="29" t="s">
        <v>161</v>
      </c>
      <c r="B71" s="52" t="s">
        <v>162</v>
      </c>
      <c r="C71" s="52"/>
      <c r="D71" s="52"/>
      <c r="E71" s="52"/>
      <c r="F71" s="52"/>
      <c r="G71" s="52"/>
      <c r="H71" s="53" t="s">
        <v>163</v>
      </c>
      <c r="I71" s="53"/>
      <c r="J71" s="53"/>
      <c r="K71" s="53"/>
      <c r="L71" s="53"/>
      <c r="M71" s="53"/>
      <c r="N71" s="53"/>
      <c r="O71" s="53"/>
    </row>
    <row r="72" spans="1:15" ht="18" customHeight="1" x14ac:dyDescent="0.35">
      <c r="A72" s="28" t="s">
        <v>164</v>
      </c>
      <c r="B72" s="50" t="s">
        <v>165</v>
      </c>
      <c r="C72" s="50"/>
      <c r="D72" s="50"/>
      <c r="E72" s="50"/>
      <c r="F72" s="50"/>
      <c r="G72" s="50"/>
      <c r="H72" s="51" t="s">
        <v>166</v>
      </c>
      <c r="I72" s="51"/>
      <c r="J72" s="51"/>
      <c r="K72" s="51"/>
      <c r="L72" s="51"/>
      <c r="M72" s="51"/>
      <c r="N72" s="51"/>
      <c r="O72" s="51"/>
    </row>
    <row r="73" spans="1:15" ht="18" customHeight="1" x14ac:dyDescent="0.35">
      <c r="A73" s="29" t="s">
        <v>167</v>
      </c>
      <c r="B73" s="52" t="s">
        <v>168</v>
      </c>
      <c r="C73" s="52"/>
      <c r="D73" s="52"/>
      <c r="E73" s="52"/>
      <c r="F73" s="52"/>
      <c r="G73" s="52"/>
      <c r="H73" s="53" t="s">
        <v>169</v>
      </c>
      <c r="I73" s="53"/>
      <c r="J73" s="53"/>
      <c r="K73" s="53"/>
      <c r="L73" s="53"/>
      <c r="M73" s="53"/>
      <c r="N73" s="53"/>
      <c r="O73" s="53"/>
    </row>
    <row r="74" spans="1:15" ht="18" customHeight="1" x14ac:dyDescent="0.35">
      <c r="A74" s="28" t="s">
        <v>170</v>
      </c>
      <c r="B74" s="50" t="s">
        <v>171</v>
      </c>
      <c r="C74" s="50"/>
      <c r="D74" s="50"/>
      <c r="E74" s="50"/>
      <c r="F74" s="50"/>
      <c r="G74" s="50"/>
      <c r="H74" s="51" t="s">
        <v>172</v>
      </c>
      <c r="I74" s="51"/>
      <c r="J74" s="51"/>
      <c r="K74" s="51"/>
      <c r="L74" s="51"/>
      <c r="M74" s="51"/>
      <c r="N74" s="51"/>
      <c r="O74" s="51"/>
    </row>
    <row r="75" spans="1:15" ht="18" customHeight="1" x14ac:dyDescent="0.35">
      <c r="A75" s="29" t="s">
        <v>173</v>
      </c>
      <c r="B75" s="52" t="s">
        <v>171</v>
      </c>
      <c r="C75" s="52"/>
      <c r="D75" s="52"/>
      <c r="E75" s="52"/>
      <c r="F75" s="52"/>
      <c r="G75" s="52"/>
      <c r="H75" s="53" t="s">
        <v>174</v>
      </c>
      <c r="I75" s="53"/>
      <c r="J75" s="53"/>
      <c r="K75" s="53"/>
      <c r="L75" s="53"/>
      <c r="M75" s="53"/>
      <c r="N75" s="53"/>
      <c r="O75" s="53"/>
    </row>
    <row r="76" spans="1:15" ht="18" customHeight="1" x14ac:dyDescent="0.35">
      <c r="A76" s="28" t="s">
        <v>175</v>
      </c>
      <c r="B76" s="50" t="s">
        <v>168</v>
      </c>
      <c r="C76" s="50"/>
      <c r="D76" s="50"/>
      <c r="E76" s="50"/>
      <c r="F76" s="50"/>
      <c r="G76" s="50"/>
      <c r="H76" s="51" t="s">
        <v>176</v>
      </c>
      <c r="I76" s="51"/>
      <c r="J76" s="51"/>
      <c r="K76" s="51"/>
      <c r="L76" s="51"/>
      <c r="M76" s="51"/>
      <c r="N76" s="51"/>
      <c r="O76" s="51"/>
    </row>
    <row r="77" spans="1:15" ht="15.75" customHeight="1" x14ac:dyDescent="0.35">
      <c r="A77" s="54" t="s">
        <v>177</v>
      </c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</row>
  </sheetData>
  <mergeCells count="28">
    <mergeCell ref="A77:O77"/>
    <mergeCell ref="B74:G74"/>
    <mergeCell ref="H74:O74"/>
    <mergeCell ref="B75:G75"/>
    <mergeCell ref="H75:O75"/>
    <mergeCell ref="B76:G76"/>
    <mergeCell ref="H76:O76"/>
    <mergeCell ref="B71:G71"/>
    <mergeCell ref="H71:O71"/>
    <mergeCell ref="B72:G72"/>
    <mergeCell ref="H72:O72"/>
    <mergeCell ref="B73:G73"/>
    <mergeCell ref="H73:O73"/>
    <mergeCell ref="A68:O68"/>
    <mergeCell ref="B69:G69"/>
    <mergeCell ref="H69:O69"/>
    <mergeCell ref="B70:G70"/>
    <mergeCell ref="H70:O70"/>
    <mergeCell ref="A21:O21"/>
    <mergeCell ref="A35:O35"/>
    <mergeCell ref="A49:O49"/>
    <mergeCell ref="A64:F64"/>
    <mergeCell ref="A65:F65"/>
    <mergeCell ref="A1:O1"/>
    <mergeCell ref="A2:O2"/>
    <mergeCell ref="A3:O3"/>
    <mergeCell ref="A6:O6"/>
    <mergeCell ref="A7:O7"/>
  </mergeCells>
  <conditionalFormatting sqref="G8:G61">
    <cfRule type="cellIs" dxfId="33" priority="2" operator="equal">
      <formula>"Pass"</formula>
    </cfRule>
    <cfRule type="cellIs" dxfId="32" priority="3" operator="equal">
      <formula>"Fail"</formula>
    </cfRule>
  </conditionalFormatting>
  <conditionalFormatting sqref="K8:K61">
    <cfRule type="cellIs" dxfId="31" priority="4" operator="equal">
      <formula>"Pass"</formula>
    </cfRule>
    <cfRule type="cellIs" dxfId="30" priority="5" operator="equal">
      <formula>"Fail"</formula>
    </cfRule>
  </conditionalFormatting>
  <conditionalFormatting sqref="M8:M61">
    <cfRule type="cellIs" dxfId="29" priority="6" operator="equal">
      <formula>"Pass"</formula>
    </cfRule>
    <cfRule type="cellIs" dxfId="28" priority="7" operator="equal">
      <formula>"Fail"</formula>
    </cfRule>
  </conditionalFormatting>
  <conditionalFormatting sqref="N8:N61">
    <cfRule type="cellIs" dxfId="27" priority="8" operator="equal">
      <formula>"PASS"</formula>
    </cfRule>
    <cfRule type="cellIs" dxfId="26" priority="9" operator="equal">
      <formula>"FAIL"</formula>
    </cfRule>
  </conditionalFormatting>
  <pageMargins left="0.4" right="0.4" top="0.5" bottom="0.5" header="0.3" footer="0.3"/>
  <pageSetup paperSize="9" orientation="landscape" r:id="rId1"/>
  <headerFooter>
    <oddHeader>&amp;C&amp;9 Elek_Analog</oddHeader>
    <oddFooter>&amp;L&amp;8 Lab Sensor Sistem Telekontrol — DTNTF UGM | Component QC Log&amp;R&amp;8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7"/>
  <sheetViews>
    <sheetView showGridLines="0" zoomScale="68" zoomScaleNormal="100" workbookViewId="0">
      <pane ySplit="5" topLeftCell="A63" activePane="bottomLeft" state="frozen"/>
      <selection pane="bottomLeft" activeCell="H80" sqref="H80"/>
    </sheetView>
  </sheetViews>
  <sheetFormatPr defaultColWidth="8.6328125" defaultRowHeight="14.5" x14ac:dyDescent="0.35"/>
  <cols>
    <col min="1" max="1" width="27.7265625" customWidth="1"/>
    <col min="2" max="2" width="12.81640625" bestFit="1" customWidth="1"/>
    <col min="3" max="3" width="15.6328125" bestFit="1" customWidth="1"/>
    <col min="4" max="4" width="12" customWidth="1"/>
    <col min="5" max="5" width="10" bestFit="1" customWidth="1"/>
    <col min="6" max="6" width="3.6328125" bestFit="1" customWidth="1"/>
    <col min="7" max="7" width="9.08984375" bestFit="1" customWidth="1"/>
    <col min="8" max="8" width="11.81640625" bestFit="1" customWidth="1"/>
    <col min="9" max="9" width="8.6328125" bestFit="1" customWidth="1"/>
    <col min="10" max="10" width="9.81640625" bestFit="1" customWidth="1"/>
    <col min="11" max="11" width="8.7265625" bestFit="1" customWidth="1"/>
    <col min="12" max="12" width="17.08984375" bestFit="1" customWidth="1"/>
    <col min="13" max="13" width="5.90625" bestFit="1" customWidth="1"/>
    <col min="14" max="14" width="6.54296875" bestFit="1" customWidth="1"/>
    <col min="15" max="15" width="29.7265625" bestFit="1" customWidth="1"/>
  </cols>
  <sheetData>
    <row r="1" spans="1:15" ht="27.75" customHeight="1" x14ac:dyDescent="0.35">
      <c r="A1" s="61" t="s">
        <v>178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2" spans="1:15" ht="15.75" customHeight="1" x14ac:dyDescent="0.35">
      <c r="A2" s="56" t="s">
        <v>29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5" ht="15.75" customHeight="1" x14ac:dyDescent="0.35">
      <c r="A3" s="57" t="s">
        <v>179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ht="3.75" customHeight="1" x14ac:dyDescent="0.35"/>
    <row r="5" spans="1:15" ht="36" customHeight="1" x14ac:dyDescent="0.35">
      <c r="A5" s="16" t="s">
        <v>31</v>
      </c>
      <c r="B5" s="16" t="s">
        <v>32</v>
      </c>
      <c r="C5" s="16" t="s">
        <v>33</v>
      </c>
      <c r="D5" s="16" t="s">
        <v>34</v>
      </c>
      <c r="E5" s="16" t="s">
        <v>35</v>
      </c>
      <c r="F5" s="16" t="s">
        <v>36</v>
      </c>
      <c r="G5" s="16" t="s">
        <v>37</v>
      </c>
      <c r="H5" s="16" t="s">
        <v>38</v>
      </c>
      <c r="I5" s="16" t="s">
        <v>39</v>
      </c>
      <c r="J5" s="16" t="s">
        <v>40</v>
      </c>
      <c r="K5" s="16" t="s">
        <v>41</v>
      </c>
      <c r="L5" s="16" t="s">
        <v>42</v>
      </c>
      <c r="M5" s="16" t="s">
        <v>43</v>
      </c>
      <c r="N5" s="16" t="s">
        <v>44</v>
      </c>
      <c r="O5" s="16" t="s">
        <v>45</v>
      </c>
    </row>
    <row r="6" spans="1:15" ht="13.5" customHeight="1" x14ac:dyDescent="0.35">
      <c r="A6" s="58" t="s">
        <v>46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</row>
    <row r="7" spans="1:15" ht="15.75" customHeight="1" x14ac:dyDescent="0.35">
      <c r="A7" s="3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23" x14ac:dyDescent="0.35">
      <c r="A8" s="30">
        <v>1</v>
      </c>
      <c r="B8" s="31" t="s">
        <v>180</v>
      </c>
      <c r="C8" s="32" t="s">
        <v>181</v>
      </c>
      <c r="D8" s="31" t="s">
        <v>182</v>
      </c>
      <c r="E8" s="31" t="s">
        <v>51</v>
      </c>
      <c r="F8" s="31">
        <v>22</v>
      </c>
      <c r="G8" s="31" t="s">
        <v>52</v>
      </c>
      <c r="H8" s="31">
        <v>5</v>
      </c>
      <c r="I8" s="31">
        <v>4.7</v>
      </c>
      <c r="J8" s="32" t="s">
        <v>183</v>
      </c>
      <c r="K8" s="30" t="str">
        <f t="shared" ref="K8:K19" si="0">IF(G8="Fail","Fail",IF(ABS(I8-H8)/IF(H8=0,1,H8)&lt;=0.1,"Pass","Fail"))</f>
        <v>Pass</v>
      </c>
      <c r="L8" s="32" t="s">
        <v>184</v>
      </c>
      <c r="M8" s="31" t="s">
        <v>52</v>
      </c>
      <c r="N8" s="33" t="str">
        <f t="shared" ref="N8:N19" si="1">IF(AND(G8="Pass",K8="Pass",M8="Pass"),"PASS","FAIL")</f>
        <v>PASS</v>
      </c>
      <c r="O8" s="34" t="str">
        <f t="shared" ref="O8:O19" si="2">IF(N8="PASS","Release to practicum","Quarantine — do not issue to students")</f>
        <v>Release to practicum</v>
      </c>
    </row>
    <row r="9" spans="1:15" ht="23" x14ac:dyDescent="0.35">
      <c r="A9" s="35">
        <v>2</v>
      </c>
      <c r="B9" s="31" t="s">
        <v>185</v>
      </c>
      <c r="C9" s="32" t="s">
        <v>186</v>
      </c>
      <c r="D9" s="31" t="s">
        <v>187</v>
      </c>
      <c r="E9" s="31" t="s">
        <v>51</v>
      </c>
      <c r="F9" s="31">
        <v>24</v>
      </c>
      <c r="G9" s="31" t="s">
        <v>52</v>
      </c>
      <c r="H9" s="31">
        <v>5</v>
      </c>
      <c r="I9" s="31">
        <v>4.83</v>
      </c>
      <c r="J9" s="32" t="s">
        <v>183</v>
      </c>
      <c r="K9" s="30" t="str">
        <f t="shared" si="0"/>
        <v>Pass</v>
      </c>
      <c r="L9" s="32" t="s">
        <v>184</v>
      </c>
      <c r="M9" s="31" t="s">
        <v>52</v>
      </c>
      <c r="N9" s="33" t="str">
        <f t="shared" si="1"/>
        <v>PASS</v>
      </c>
      <c r="O9" s="34" t="str">
        <f t="shared" si="2"/>
        <v>Release to practicum</v>
      </c>
    </row>
    <row r="10" spans="1:15" ht="23" x14ac:dyDescent="0.35">
      <c r="A10" s="30">
        <v>3</v>
      </c>
      <c r="B10" s="31" t="s">
        <v>188</v>
      </c>
      <c r="C10" s="32" t="s">
        <v>189</v>
      </c>
      <c r="D10" s="31" t="s">
        <v>190</v>
      </c>
      <c r="E10" s="31" t="s">
        <v>51</v>
      </c>
      <c r="F10" s="31">
        <v>21</v>
      </c>
      <c r="G10" s="31" t="s">
        <v>52</v>
      </c>
      <c r="H10" s="31">
        <v>5</v>
      </c>
      <c r="I10" s="31">
        <v>4.78</v>
      </c>
      <c r="J10" s="32" t="s">
        <v>183</v>
      </c>
      <c r="K10" s="30" t="str">
        <f t="shared" si="0"/>
        <v>Pass</v>
      </c>
      <c r="L10" s="32" t="s">
        <v>184</v>
      </c>
      <c r="M10" s="31" t="s">
        <v>52</v>
      </c>
      <c r="N10" s="33" t="str">
        <f t="shared" si="1"/>
        <v>PASS</v>
      </c>
      <c r="O10" s="34" t="str">
        <f t="shared" si="2"/>
        <v>Release to practicum</v>
      </c>
    </row>
    <row r="11" spans="1:15" x14ac:dyDescent="0.35">
      <c r="A11" s="35">
        <v>4</v>
      </c>
      <c r="B11" s="31" t="s">
        <v>191</v>
      </c>
      <c r="C11" s="32" t="s">
        <v>192</v>
      </c>
      <c r="D11" s="31" t="s">
        <v>193</v>
      </c>
      <c r="E11" s="31" t="s">
        <v>51</v>
      </c>
      <c r="F11" s="31">
        <v>25</v>
      </c>
      <c r="G11" s="31" t="s">
        <v>52</v>
      </c>
      <c r="H11" s="31">
        <v>5</v>
      </c>
      <c r="I11" s="31">
        <v>4.83</v>
      </c>
      <c r="J11" s="32" t="s">
        <v>183</v>
      </c>
      <c r="K11" s="30" t="str">
        <f t="shared" si="0"/>
        <v>Pass</v>
      </c>
      <c r="L11" s="32" t="s">
        <v>194</v>
      </c>
      <c r="M11" s="31" t="s">
        <v>52</v>
      </c>
      <c r="N11" s="33" t="str">
        <f t="shared" si="1"/>
        <v>PASS</v>
      </c>
      <c r="O11" s="34" t="str">
        <f t="shared" si="2"/>
        <v>Release to practicum</v>
      </c>
    </row>
    <row r="12" spans="1:15" ht="23" x14ac:dyDescent="0.35">
      <c r="A12" s="30">
        <v>5</v>
      </c>
      <c r="B12" s="31" t="s">
        <v>195</v>
      </c>
      <c r="C12" s="32" t="s">
        <v>196</v>
      </c>
      <c r="D12" s="31" t="s">
        <v>197</v>
      </c>
      <c r="E12" s="31" t="s">
        <v>69</v>
      </c>
      <c r="F12" s="31">
        <v>21</v>
      </c>
      <c r="G12" s="31" t="s">
        <v>52</v>
      </c>
      <c r="H12" s="31">
        <v>5</v>
      </c>
      <c r="I12" s="31">
        <v>5.55</v>
      </c>
      <c r="J12" s="32" t="s">
        <v>183</v>
      </c>
      <c r="K12" s="30" t="str">
        <f t="shared" si="0"/>
        <v>Fail</v>
      </c>
      <c r="L12" s="32" t="s">
        <v>198</v>
      </c>
      <c r="M12" s="31" t="s">
        <v>52</v>
      </c>
      <c r="N12" s="33" t="str">
        <f t="shared" si="1"/>
        <v>FAIL</v>
      </c>
      <c r="O12" s="34" t="str">
        <f t="shared" si="2"/>
        <v>Quarantine — do not issue to students</v>
      </c>
    </row>
    <row r="13" spans="1:15" ht="23" x14ac:dyDescent="0.35">
      <c r="A13" s="35">
        <v>6</v>
      </c>
      <c r="B13" s="31" t="s">
        <v>199</v>
      </c>
      <c r="C13" s="32" t="s">
        <v>200</v>
      </c>
      <c r="D13" s="31" t="s">
        <v>201</v>
      </c>
      <c r="E13" s="31" t="s">
        <v>69</v>
      </c>
      <c r="F13" s="31">
        <v>21</v>
      </c>
      <c r="G13" s="31" t="s">
        <v>52</v>
      </c>
      <c r="H13" s="31">
        <v>15</v>
      </c>
      <c r="I13" s="31">
        <v>13.39</v>
      </c>
      <c r="J13" s="32" t="s">
        <v>183</v>
      </c>
      <c r="K13" s="30" t="str">
        <f t="shared" si="0"/>
        <v>Fail</v>
      </c>
      <c r="L13" s="32" t="s">
        <v>202</v>
      </c>
      <c r="M13" s="31" t="s">
        <v>52</v>
      </c>
      <c r="N13" s="33" t="str">
        <f t="shared" si="1"/>
        <v>FAIL</v>
      </c>
      <c r="O13" s="34" t="str">
        <f t="shared" si="2"/>
        <v>Quarantine — do not issue to students</v>
      </c>
    </row>
    <row r="14" spans="1:15" x14ac:dyDescent="0.35">
      <c r="A14" s="30">
        <v>7</v>
      </c>
      <c r="B14" s="31" t="s">
        <v>203</v>
      </c>
      <c r="C14" s="32" t="s">
        <v>204</v>
      </c>
      <c r="D14" s="31" t="s">
        <v>205</v>
      </c>
      <c r="E14" s="31" t="s">
        <v>69</v>
      </c>
      <c r="F14" s="31">
        <v>20</v>
      </c>
      <c r="G14" s="31" t="s">
        <v>52</v>
      </c>
      <c r="H14" s="31">
        <v>70</v>
      </c>
      <c r="I14" s="31">
        <v>63.86</v>
      </c>
      <c r="J14" s="32" t="s">
        <v>206</v>
      </c>
      <c r="K14" s="30" t="str">
        <f t="shared" si="0"/>
        <v>Pass</v>
      </c>
      <c r="L14" s="32" t="s">
        <v>207</v>
      </c>
      <c r="M14" s="31" t="s">
        <v>52</v>
      </c>
      <c r="N14" s="33" t="str">
        <f t="shared" si="1"/>
        <v>PASS</v>
      </c>
      <c r="O14" s="34" t="str">
        <f t="shared" si="2"/>
        <v>Release to practicum</v>
      </c>
    </row>
    <row r="15" spans="1:15" x14ac:dyDescent="0.35">
      <c r="A15" s="35">
        <v>8</v>
      </c>
      <c r="B15" s="31" t="s">
        <v>208</v>
      </c>
      <c r="C15" s="32" t="s">
        <v>209</v>
      </c>
      <c r="D15" s="31" t="s">
        <v>210</v>
      </c>
      <c r="E15" s="31" t="s">
        <v>69</v>
      </c>
      <c r="F15" s="31">
        <v>22</v>
      </c>
      <c r="G15" s="31" t="s">
        <v>52</v>
      </c>
      <c r="H15" s="31">
        <v>400</v>
      </c>
      <c r="I15" s="31">
        <v>373.14</v>
      </c>
      <c r="J15" s="32" t="s">
        <v>206</v>
      </c>
      <c r="K15" s="30" t="str">
        <f t="shared" si="0"/>
        <v>Pass</v>
      </c>
      <c r="L15" s="32" t="s">
        <v>207</v>
      </c>
      <c r="M15" s="31" t="s">
        <v>52</v>
      </c>
      <c r="N15" s="33" t="str">
        <f t="shared" si="1"/>
        <v>PASS</v>
      </c>
      <c r="O15" s="34" t="str">
        <f t="shared" si="2"/>
        <v>Release to practicum</v>
      </c>
    </row>
    <row r="16" spans="1:15" x14ac:dyDescent="0.35">
      <c r="A16" s="30">
        <v>9</v>
      </c>
      <c r="B16" s="31" t="s">
        <v>211</v>
      </c>
      <c r="C16" s="32" t="s">
        <v>212</v>
      </c>
      <c r="D16" s="31" t="s">
        <v>213</v>
      </c>
      <c r="E16" s="31" t="s">
        <v>87</v>
      </c>
      <c r="F16" s="31">
        <v>20</v>
      </c>
      <c r="G16" s="31" t="s">
        <v>52</v>
      </c>
      <c r="H16" s="31">
        <v>0.5</v>
      </c>
      <c r="I16" s="31">
        <v>0.49</v>
      </c>
      <c r="J16" s="32" t="s">
        <v>214</v>
      </c>
      <c r="K16" s="30" t="str">
        <f t="shared" si="0"/>
        <v>Pass</v>
      </c>
      <c r="L16" s="32" t="s">
        <v>215</v>
      </c>
      <c r="M16" s="31" t="s">
        <v>52</v>
      </c>
      <c r="N16" s="33" t="str">
        <f t="shared" si="1"/>
        <v>PASS</v>
      </c>
      <c r="O16" s="34" t="str">
        <f t="shared" si="2"/>
        <v>Release to practicum</v>
      </c>
    </row>
    <row r="17" spans="1:15" ht="23" x14ac:dyDescent="0.35">
      <c r="A17" s="35">
        <v>10</v>
      </c>
      <c r="B17" s="31" t="s">
        <v>216</v>
      </c>
      <c r="C17" s="32" t="s">
        <v>217</v>
      </c>
      <c r="D17" s="31" t="s">
        <v>218</v>
      </c>
      <c r="E17" s="31" t="s">
        <v>87</v>
      </c>
      <c r="F17" s="31">
        <v>24</v>
      </c>
      <c r="G17" s="31" t="s">
        <v>52</v>
      </c>
      <c r="H17" s="31">
        <v>0.5</v>
      </c>
      <c r="I17" s="31">
        <v>0.56000000000000005</v>
      </c>
      <c r="J17" s="32" t="s">
        <v>214</v>
      </c>
      <c r="K17" s="30" t="str">
        <f t="shared" si="0"/>
        <v>Fail</v>
      </c>
      <c r="L17" s="32" t="s">
        <v>215</v>
      </c>
      <c r="M17" s="31" t="s">
        <v>52</v>
      </c>
      <c r="N17" s="33" t="str">
        <f t="shared" si="1"/>
        <v>FAIL</v>
      </c>
      <c r="O17" s="34" t="str">
        <f t="shared" si="2"/>
        <v>Quarantine — do not issue to students</v>
      </c>
    </row>
    <row r="18" spans="1:15" ht="23" x14ac:dyDescent="0.35">
      <c r="A18" s="30">
        <v>11</v>
      </c>
      <c r="B18" s="31" t="s">
        <v>219</v>
      </c>
      <c r="C18" s="32" t="s">
        <v>220</v>
      </c>
      <c r="D18" s="31" t="s">
        <v>221</v>
      </c>
      <c r="E18" s="31" t="s">
        <v>87</v>
      </c>
      <c r="F18" s="31">
        <v>24</v>
      </c>
      <c r="G18" s="31" t="s">
        <v>75</v>
      </c>
      <c r="H18" s="31">
        <v>2</v>
      </c>
      <c r="I18" s="31">
        <v>2.11</v>
      </c>
      <c r="J18" s="32" t="s">
        <v>222</v>
      </c>
      <c r="K18" s="30" t="str">
        <f t="shared" si="0"/>
        <v>Fail</v>
      </c>
      <c r="L18" s="32" t="s">
        <v>223</v>
      </c>
      <c r="M18" s="31" t="s">
        <v>52</v>
      </c>
      <c r="N18" s="33" t="str">
        <f t="shared" si="1"/>
        <v>FAIL</v>
      </c>
      <c r="O18" s="34" t="str">
        <f t="shared" si="2"/>
        <v>Quarantine — do not issue to students</v>
      </c>
    </row>
    <row r="19" spans="1:15" ht="23" x14ac:dyDescent="0.35">
      <c r="A19" s="35">
        <v>12</v>
      </c>
      <c r="B19" s="31" t="s">
        <v>224</v>
      </c>
      <c r="C19" s="32" t="s">
        <v>225</v>
      </c>
      <c r="D19" s="31" t="s">
        <v>226</v>
      </c>
      <c r="E19" s="31" t="s">
        <v>87</v>
      </c>
      <c r="F19" s="31">
        <v>19</v>
      </c>
      <c r="G19" s="31" t="s">
        <v>52</v>
      </c>
      <c r="H19" s="31">
        <v>2.1</v>
      </c>
      <c r="I19" s="31">
        <v>2.35</v>
      </c>
      <c r="J19" s="32" t="s">
        <v>222</v>
      </c>
      <c r="K19" s="30" t="str">
        <f t="shared" si="0"/>
        <v>Fail</v>
      </c>
      <c r="L19" s="32" t="s">
        <v>223</v>
      </c>
      <c r="M19" s="31" t="s">
        <v>52</v>
      </c>
      <c r="N19" s="33" t="str">
        <f t="shared" si="1"/>
        <v>FAIL</v>
      </c>
      <c r="O19" s="34" t="str">
        <f t="shared" si="2"/>
        <v>Quarantine — do not issue to students</v>
      </c>
    </row>
    <row r="21" spans="1:15" ht="15.75" customHeight="1" x14ac:dyDescent="0.35">
      <c r="A21" s="3" t="s">
        <v>103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23" x14ac:dyDescent="0.35">
      <c r="A22" s="30">
        <v>1</v>
      </c>
      <c r="B22" s="31" t="s">
        <v>180</v>
      </c>
      <c r="C22" s="32" t="s">
        <v>181</v>
      </c>
      <c r="D22" s="31" t="s">
        <v>227</v>
      </c>
      <c r="E22" s="31" t="s">
        <v>105</v>
      </c>
      <c r="F22" s="31">
        <v>22</v>
      </c>
      <c r="G22" s="31" t="s">
        <v>52</v>
      </c>
      <c r="H22" s="31">
        <v>5</v>
      </c>
      <c r="I22" s="31">
        <v>4.4400000000000004</v>
      </c>
      <c r="J22" s="32" t="s">
        <v>183</v>
      </c>
      <c r="K22" s="30" t="str">
        <f t="shared" ref="K22:K33" si="3">IF(G22="Fail","Fail",IF(ABS(I22-H22)/IF(H22=0,1,H22)&lt;=0.1,"Pass","Fail"))</f>
        <v>Fail</v>
      </c>
      <c r="L22" s="32" t="s">
        <v>184</v>
      </c>
      <c r="M22" s="31" t="s">
        <v>52</v>
      </c>
      <c r="N22" s="33" t="str">
        <f t="shared" ref="N22:N33" si="4">IF(AND(G22="Pass",K22="Pass",M22="Pass"),"PASS","FAIL")</f>
        <v>FAIL</v>
      </c>
      <c r="O22" s="34" t="str">
        <f t="shared" ref="O22:O33" si="5">IF(N22="PASS","Release to practicum","Quarantine — do not issue to students")</f>
        <v>Quarantine — do not issue to students</v>
      </c>
    </row>
    <row r="23" spans="1:15" ht="23" x14ac:dyDescent="0.35">
      <c r="A23" s="35">
        <v>2</v>
      </c>
      <c r="B23" s="31" t="s">
        <v>185</v>
      </c>
      <c r="C23" s="32" t="s">
        <v>186</v>
      </c>
      <c r="D23" s="31" t="s">
        <v>228</v>
      </c>
      <c r="E23" s="31" t="s">
        <v>105</v>
      </c>
      <c r="F23" s="31">
        <v>24</v>
      </c>
      <c r="G23" s="31" t="s">
        <v>52</v>
      </c>
      <c r="H23" s="31">
        <v>5</v>
      </c>
      <c r="I23" s="31">
        <v>4.63</v>
      </c>
      <c r="J23" s="32" t="s">
        <v>183</v>
      </c>
      <c r="K23" s="30" t="str">
        <f t="shared" si="3"/>
        <v>Pass</v>
      </c>
      <c r="L23" s="32" t="s">
        <v>184</v>
      </c>
      <c r="M23" s="31" t="s">
        <v>52</v>
      </c>
      <c r="N23" s="33" t="str">
        <f t="shared" si="4"/>
        <v>PASS</v>
      </c>
      <c r="O23" s="34" t="str">
        <f t="shared" si="5"/>
        <v>Release to practicum</v>
      </c>
    </row>
    <row r="24" spans="1:15" ht="23" x14ac:dyDescent="0.35">
      <c r="A24" s="30">
        <v>3</v>
      </c>
      <c r="B24" s="31" t="s">
        <v>188</v>
      </c>
      <c r="C24" s="32" t="s">
        <v>189</v>
      </c>
      <c r="D24" s="31" t="s">
        <v>229</v>
      </c>
      <c r="E24" s="31" t="s">
        <v>105</v>
      </c>
      <c r="F24" s="31">
        <v>25</v>
      </c>
      <c r="G24" s="31" t="s">
        <v>52</v>
      </c>
      <c r="H24" s="31">
        <v>5</v>
      </c>
      <c r="I24" s="31">
        <v>4.97</v>
      </c>
      <c r="J24" s="32" t="s">
        <v>183</v>
      </c>
      <c r="K24" s="30" t="str">
        <f t="shared" si="3"/>
        <v>Pass</v>
      </c>
      <c r="L24" s="32" t="s">
        <v>184</v>
      </c>
      <c r="M24" s="31" t="s">
        <v>52</v>
      </c>
      <c r="N24" s="33" t="str">
        <f t="shared" si="4"/>
        <v>PASS</v>
      </c>
      <c r="O24" s="34" t="str">
        <f t="shared" si="5"/>
        <v>Release to practicum</v>
      </c>
    </row>
    <row r="25" spans="1:15" x14ac:dyDescent="0.35">
      <c r="A25" s="35">
        <v>4</v>
      </c>
      <c r="B25" s="31" t="s">
        <v>191</v>
      </c>
      <c r="C25" s="32" t="s">
        <v>192</v>
      </c>
      <c r="D25" s="31" t="s">
        <v>230</v>
      </c>
      <c r="E25" s="31" t="s">
        <v>105</v>
      </c>
      <c r="F25" s="31">
        <v>19</v>
      </c>
      <c r="G25" s="31" t="s">
        <v>52</v>
      </c>
      <c r="H25" s="31">
        <v>5</v>
      </c>
      <c r="I25" s="31">
        <v>4.72</v>
      </c>
      <c r="J25" s="32" t="s">
        <v>183</v>
      </c>
      <c r="K25" s="30" t="str">
        <f t="shared" si="3"/>
        <v>Pass</v>
      </c>
      <c r="L25" s="32" t="s">
        <v>194</v>
      </c>
      <c r="M25" s="31" t="s">
        <v>52</v>
      </c>
      <c r="N25" s="33" t="str">
        <f t="shared" si="4"/>
        <v>PASS</v>
      </c>
      <c r="O25" s="34" t="str">
        <f t="shared" si="5"/>
        <v>Release to practicum</v>
      </c>
    </row>
    <row r="26" spans="1:15" ht="23" x14ac:dyDescent="0.35">
      <c r="A26" s="30">
        <v>5</v>
      </c>
      <c r="B26" s="31" t="s">
        <v>195</v>
      </c>
      <c r="C26" s="32" t="s">
        <v>196</v>
      </c>
      <c r="D26" s="31" t="s">
        <v>231</v>
      </c>
      <c r="E26" s="31" t="s">
        <v>110</v>
      </c>
      <c r="F26" s="31">
        <v>20</v>
      </c>
      <c r="G26" s="31" t="s">
        <v>52</v>
      </c>
      <c r="H26" s="31">
        <v>5</v>
      </c>
      <c r="I26" s="31">
        <v>4.68</v>
      </c>
      <c r="J26" s="32" t="s">
        <v>183</v>
      </c>
      <c r="K26" s="30" t="str">
        <f t="shared" si="3"/>
        <v>Pass</v>
      </c>
      <c r="L26" s="32" t="s">
        <v>198</v>
      </c>
      <c r="M26" s="31" t="s">
        <v>52</v>
      </c>
      <c r="N26" s="33" t="str">
        <f t="shared" si="4"/>
        <v>PASS</v>
      </c>
      <c r="O26" s="34" t="str">
        <f t="shared" si="5"/>
        <v>Release to practicum</v>
      </c>
    </row>
    <row r="27" spans="1:15" x14ac:dyDescent="0.35">
      <c r="A27" s="35">
        <v>6</v>
      </c>
      <c r="B27" s="31" t="s">
        <v>199</v>
      </c>
      <c r="C27" s="32" t="s">
        <v>200</v>
      </c>
      <c r="D27" s="31" t="s">
        <v>232</v>
      </c>
      <c r="E27" s="31" t="s">
        <v>110</v>
      </c>
      <c r="F27" s="31">
        <v>20</v>
      </c>
      <c r="G27" s="31" t="s">
        <v>52</v>
      </c>
      <c r="H27" s="31">
        <v>15</v>
      </c>
      <c r="I27" s="31">
        <v>16.11</v>
      </c>
      <c r="J27" s="32" t="s">
        <v>183</v>
      </c>
      <c r="K27" s="30" t="str">
        <f t="shared" si="3"/>
        <v>Pass</v>
      </c>
      <c r="L27" s="32" t="s">
        <v>202</v>
      </c>
      <c r="M27" s="31" t="s">
        <v>52</v>
      </c>
      <c r="N27" s="33" t="str">
        <f t="shared" si="4"/>
        <v>PASS</v>
      </c>
      <c r="O27" s="34" t="str">
        <f t="shared" si="5"/>
        <v>Release to practicum</v>
      </c>
    </row>
    <row r="28" spans="1:15" x14ac:dyDescent="0.35">
      <c r="A28" s="30">
        <v>7</v>
      </c>
      <c r="B28" s="31" t="s">
        <v>203</v>
      </c>
      <c r="C28" s="32" t="s">
        <v>204</v>
      </c>
      <c r="D28" s="31" t="s">
        <v>233</v>
      </c>
      <c r="E28" s="31" t="s">
        <v>110</v>
      </c>
      <c r="F28" s="31">
        <v>21</v>
      </c>
      <c r="G28" s="31" t="s">
        <v>52</v>
      </c>
      <c r="H28" s="31">
        <v>70</v>
      </c>
      <c r="I28" s="31">
        <v>72.180000000000007</v>
      </c>
      <c r="J28" s="32" t="s">
        <v>206</v>
      </c>
      <c r="K28" s="30" t="str">
        <f t="shared" si="3"/>
        <v>Pass</v>
      </c>
      <c r="L28" s="32" t="s">
        <v>207</v>
      </c>
      <c r="M28" s="31" t="s">
        <v>52</v>
      </c>
      <c r="N28" s="33" t="str">
        <f t="shared" si="4"/>
        <v>PASS</v>
      </c>
      <c r="O28" s="34" t="str">
        <f t="shared" si="5"/>
        <v>Release to practicum</v>
      </c>
    </row>
    <row r="29" spans="1:15" x14ac:dyDescent="0.35">
      <c r="A29" s="35">
        <v>8</v>
      </c>
      <c r="B29" s="31" t="s">
        <v>208</v>
      </c>
      <c r="C29" s="32" t="s">
        <v>209</v>
      </c>
      <c r="D29" s="31" t="s">
        <v>234</v>
      </c>
      <c r="E29" s="31" t="s">
        <v>110</v>
      </c>
      <c r="F29" s="31">
        <v>20</v>
      </c>
      <c r="G29" s="31" t="s">
        <v>52</v>
      </c>
      <c r="H29" s="31">
        <v>400</v>
      </c>
      <c r="I29" s="31">
        <v>388.67</v>
      </c>
      <c r="J29" s="32" t="s">
        <v>206</v>
      </c>
      <c r="K29" s="30" t="str">
        <f t="shared" si="3"/>
        <v>Pass</v>
      </c>
      <c r="L29" s="32" t="s">
        <v>207</v>
      </c>
      <c r="M29" s="31" t="s">
        <v>52</v>
      </c>
      <c r="N29" s="33" t="str">
        <f t="shared" si="4"/>
        <v>PASS</v>
      </c>
      <c r="O29" s="34" t="str">
        <f t="shared" si="5"/>
        <v>Release to practicum</v>
      </c>
    </row>
    <row r="30" spans="1:15" x14ac:dyDescent="0.35">
      <c r="A30" s="30">
        <v>9</v>
      </c>
      <c r="B30" s="31" t="s">
        <v>211</v>
      </c>
      <c r="C30" s="32" t="s">
        <v>212</v>
      </c>
      <c r="D30" s="31" t="s">
        <v>235</v>
      </c>
      <c r="E30" s="31" t="s">
        <v>115</v>
      </c>
      <c r="F30" s="31">
        <v>20</v>
      </c>
      <c r="G30" s="31" t="s">
        <v>52</v>
      </c>
      <c r="H30" s="31">
        <v>0.5</v>
      </c>
      <c r="I30" s="31">
        <v>0.47</v>
      </c>
      <c r="J30" s="32" t="s">
        <v>214</v>
      </c>
      <c r="K30" s="30" t="str">
        <f t="shared" si="3"/>
        <v>Pass</v>
      </c>
      <c r="L30" s="32" t="s">
        <v>215</v>
      </c>
      <c r="M30" s="31" t="s">
        <v>52</v>
      </c>
      <c r="N30" s="33" t="str">
        <f t="shared" si="4"/>
        <v>PASS</v>
      </c>
      <c r="O30" s="34" t="str">
        <f t="shared" si="5"/>
        <v>Release to practicum</v>
      </c>
    </row>
    <row r="31" spans="1:15" x14ac:dyDescent="0.35">
      <c r="A31" s="35">
        <v>10</v>
      </c>
      <c r="B31" s="31" t="s">
        <v>216</v>
      </c>
      <c r="C31" s="32" t="s">
        <v>217</v>
      </c>
      <c r="D31" s="31" t="s">
        <v>236</v>
      </c>
      <c r="E31" s="31" t="s">
        <v>115</v>
      </c>
      <c r="F31" s="31">
        <v>20</v>
      </c>
      <c r="G31" s="31" t="s">
        <v>52</v>
      </c>
      <c r="H31" s="31">
        <v>0.5</v>
      </c>
      <c r="I31" s="31">
        <v>0.51</v>
      </c>
      <c r="J31" s="32" t="s">
        <v>214</v>
      </c>
      <c r="K31" s="30" t="str">
        <f t="shared" si="3"/>
        <v>Pass</v>
      </c>
      <c r="L31" s="32" t="s">
        <v>215</v>
      </c>
      <c r="M31" s="31" t="s">
        <v>52</v>
      </c>
      <c r="N31" s="33" t="str">
        <f t="shared" si="4"/>
        <v>PASS</v>
      </c>
      <c r="O31" s="34" t="str">
        <f t="shared" si="5"/>
        <v>Release to practicum</v>
      </c>
    </row>
    <row r="32" spans="1:15" x14ac:dyDescent="0.35">
      <c r="A32" s="30">
        <v>11</v>
      </c>
      <c r="B32" s="31" t="s">
        <v>219</v>
      </c>
      <c r="C32" s="32" t="s">
        <v>220</v>
      </c>
      <c r="D32" s="31" t="s">
        <v>237</v>
      </c>
      <c r="E32" s="31" t="s">
        <v>115</v>
      </c>
      <c r="F32" s="31">
        <v>19</v>
      </c>
      <c r="G32" s="31" t="s">
        <v>52</v>
      </c>
      <c r="H32" s="31">
        <v>2</v>
      </c>
      <c r="I32" s="31">
        <v>1.88</v>
      </c>
      <c r="J32" s="32" t="s">
        <v>222</v>
      </c>
      <c r="K32" s="30" t="str">
        <f t="shared" si="3"/>
        <v>Pass</v>
      </c>
      <c r="L32" s="32" t="s">
        <v>223</v>
      </c>
      <c r="M32" s="31" t="s">
        <v>52</v>
      </c>
      <c r="N32" s="33" t="str">
        <f t="shared" si="4"/>
        <v>PASS</v>
      </c>
      <c r="O32" s="34" t="str">
        <f t="shared" si="5"/>
        <v>Release to practicum</v>
      </c>
    </row>
    <row r="33" spans="1:15" ht="23" x14ac:dyDescent="0.35">
      <c r="A33" s="35">
        <v>12</v>
      </c>
      <c r="B33" s="31" t="s">
        <v>224</v>
      </c>
      <c r="C33" s="32" t="s">
        <v>225</v>
      </c>
      <c r="D33" s="31" t="s">
        <v>238</v>
      </c>
      <c r="E33" s="31" t="s">
        <v>115</v>
      </c>
      <c r="F33" s="31">
        <v>23</v>
      </c>
      <c r="G33" s="31" t="s">
        <v>52</v>
      </c>
      <c r="H33" s="31">
        <v>2.1</v>
      </c>
      <c r="I33" s="31">
        <v>1.86</v>
      </c>
      <c r="J33" s="32" t="s">
        <v>222</v>
      </c>
      <c r="K33" s="30" t="str">
        <f t="shared" si="3"/>
        <v>Fail</v>
      </c>
      <c r="L33" s="32" t="s">
        <v>223</v>
      </c>
      <c r="M33" s="31" t="s">
        <v>52</v>
      </c>
      <c r="N33" s="33" t="str">
        <f t="shared" si="4"/>
        <v>FAIL</v>
      </c>
      <c r="O33" s="34" t="str">
        <f t="shared" si="5"/>
        <v>Quarantine — do not issue to students</v>
      </c>
    </row>
    <row r="35" spans="1:15" ht="15.75" customHeight="1" x14ac:dyDescent="0.35">
      <c r="A35" s="3" t="s">
        <v>119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ht="23" x14ac:dyDescent="0.35">
      <c r="A36" s="30">
        <v>1</v>
      </c>
      <c r="B36" s="31" t="s">
        <v>180</v>
      </c>
      <c r="C36" s="32" t="s">
        <v>181</v>
      </c>
      <c r="D36" s="31" t="s">
        <v>239</v>
      </c>
      <c r="E36" s="31" t="s">
        <v>121</v>
      </c>
      <c r="F36" s="31">
        <v>25</v>
      </c>
      <c r="G36" s="31" t="s">
        <v>52</v>
      </c>
      <c r="H36" s="31">
        <v>5</v>
      </c>
      <c r="I36" s="31">
        <v>4.9800000000000004</v>
      </c>
      <c r="J36" s="32" t="s">
        <v>183</v>
      </c>
      <c r="K36" s="30" t="str">
        <f t="shared" ref="K36:K47" si="6">IF(G36="Fail","Fail",IF(ABS(I36-H36)/IF(H36=0,1,H36)&lt;=0.1,"Pass","Fail"))</f>
        <v>Pass</v>
      </c>
      <c r="L36" s="32" t="s">
        <v>184</v>
      </c>
      <c r="M36" s="31" t="s">
        <v>52</v>
      </c>
      <c r="N36" s="33" t="str">
        <f t="shared" ref="N36:N47" si="7">IF(AND(G36="Pass",K36="Pass",M36="Pass"),"PASS","FAIL")</f>
        <v>PASS</v>
      </c>
      <c r="O36" s="34" t="str">
        <f t="shared" ref="O36:O47" si="8">IF(N36="PASS","Release to practicum","Quarantine — do not issue to students")</f>
        <v>Release to practicum</v>
      </c>
    </row>
    <row r="37" spans="1:15" ht="23" x14ac:dyDescent="0.35">
      <c r="A37" s="35">
        <v>2</v>
      </c>
      <c r="B37" s="31" t="s">
        <v>185</v>
      </c>
      <c r="C37" s="32" t="s">
        <v>186</v>
      </c>
      <c r="D37" s="31" t="s">
        <v>240</v>
      </c>
      <c r="E37" s="31" t="s">
        <v>121</v>
      </c>
      <c r="F37" s="31">
        <v>24</v>
      </c>
      <c r="G37" s="31" t="s">
        <v>52</v>
      </c>
      <c r="H37" s="31">
        <v>5</v>
      </c>
      <c r="I37" s="31">
        <v>5.22</v>
      </c>
      <c r="J37" s="32" t="s">
        <v>183</v>
      </c>
      <c r="K37" s="30" t="str">
        <f t="shared" si="6"/>
        <v>Pass</v>
      </c>
      <c r="L37" s="32" t="s">
        <v>184</v>
      </c>
      <c r="M37" s="31" t="s">
        <v>52</v>
      </c>
      <c r="N37" s="33" t="str">
        <f t="shared" si="7"/>
        <v>PASS</v>
      </c>
      <c r="O37" s="34" t="str">
        <f t="shared" si="8"/>
        <v>Release to practicum</v>
      </c>
    </row>
    <row r="38" spans="1:15" ht="23" x14ac:dyDescent="0.35">
      <c r="A38" s="30">
        <v>3</v>
      </c>
      <c r="B38" s="31" t="s">
        <v>188</v>
      </c>
      <c r="C38" s="32" t="s">
        <v>189</v>
      </c>
      <c r="D38" s="31" t="s">
        <v>241</v>
      </c>
      <c r="E38" s="31" t="s">
        <v>121</v>
      </c>
      <c r="F38" s="31">
        <v>23</v>
      </c>
      <c r="G38" s="31" t="s">
        <v>52</v>
      </c>
      <c r="H38" s="31">
        <v>5</v>
      </c>
      <c r="I38" s="31">
        <v>5.17</v>
      </c>
      <c r="J38" s="32" t="s">
        <v>183</v>
      </c>
      <c r="K38" s="30" t="str">
        <f t="shared" si="6"/>
        <v>Pass</v>
      </c>
      <c r="L38" s="32" t="s">
        <v>184</v>
      </c>
      <c r="M38" s="31" t="s">
        <v>52</v>
      </c>
      <c r="N38" s="33" t="str">
        <f t="shared" si="7"/>
        <v>PASS</v>
      </c>
      <c r="O38" s="34" t="str">
        <f t="shared" si="8"/>
        <v>Release to practicum</v>
      </c>
    </row>
    <row r="39" spans="1:15" ht="23" x14ac:dyDescent="0.35">
      <c r="A39" s="35">
        <v>4</v>
      </c>
      <c r="B39" s="31" t="s">
        <v>191</v>
      </c>
      <c r="C39" s="32" t="s">
        <v>192</v>
      </c>
      <c r="D39" s="31" t="s">
        <v>242</v>
      </c>
      <c r="E39" s="31" t="s">
        <v>121</v>
      </c>
      <c r="F39" s="31">
        <v>22</v>
      </c>
      <c r="G39" s="31" t="s">
        <v>75</v>
      </c>
      <c r="H39" s="31">
        <v>5</v>
      </c>
      <c r="I39" s="31">
        <v>5.28</v>
      </c>
      <c r="J39" s="32" t="s">
        <v>183</v>
      </c>
      <c r="K39" s="30" t="str">
        <f t="shared" si="6"/>
        <v>Fail</v>
      </c>
      <c r="L39" s="32" t="s">
        <v>194</v>
      </c>
      <c r="M39" s="31" t="s">
        <v>52</v>
      </c>
      <c r="N39" s="33" t="str">
        <f t="shared" si="7"/>
        <v>FAIL</v>
      </c>
      <c r="O39" s="34" t="str">
        <f t="shared" si="8"/>
        <v>Quarantine — do not issue to students</v>
      </c>
    </row>
    <row r="40" spans="1:15" ht="23" x14ac:dyDescent="0.35">
      <c r="A40" s="30">
        <v>5</v>
      </c>
      <c r="B40" s="31" t="s">
        <v>195</v>
      </c>
      <c r="C40" s="32" t="s">
        <v>196</v>
      </c>
      <c r="D40" s="31" t="s">
        <v>243</v>
      </c>
      <c r="E40" s="31" t="s">
        <v>126</v>
      </c>
      <c r="F40" s="31">
        <v>20</v>
      </c>
      <c r="G40" s="31" t="s">
        <v>52</v>
      </c>
      <c r="H40" s="31">
        <v>5</v>
      </c>
      <c r="I40" s="31">
        <v>4.96</v>
      </c>
      <c r="J40" s="32" t="s">
        <v>183</v>
      </c>
      <c r="K40" s="30" t="str">
        <f t="shared" si="6"/>
        <v>Pass</v>
      </c>
      <c r="L40" s="32" t="s">
        <v>198</v>
      </c>
      <c r="M40" s="31" t="s">
        <v>52</v>
      </c>
      <c r="N40" s="33" t="str">
        <f t="shared" si="7"/>
        <v>PASS</v>
      </c>
      <c r="O40" s="34" t="str">
        <f t="shared" si="8"/>
        <v>Release to practicum</v>
      </c>
    </row>
    <row r="41" spans="1:15" ht="23" x14ac:dyDescent="0.35">
      <c r="A41" s="35">
        <v>6</v>
      </c>
      <c r="B41" s="31" t="s">
        <v>199</v>
      </c>
      <c r="C41" s="32" t="s">
        <v>200</v>
      </c>
      <c r="D41" s="31" t="s">
        <v>244</v>
      </c>
      <c r="E41" s="31" t="s">
        <v>126</v>
      </c>
      <c r="F41" s="31">
        <v>19</v>
      </c>
      <c r="G41" s="31" t="s">
        <v>52</v>
      </c>
      <c r="H41" s="31">
        <v>15</v>
      </c>
      <c r="I41" s="31">
        <v>13.38</v>
      </c>
      <c r="J41" s="32" t="s">
        <v>183</v>
      </c>
      <c r="K41" s="30" t="str">
        <f t="shared" si="6"/>
        <v>Fail</v>
      </c>
      <c r="L41" s="32" t="s">
        <v>202</v>
      </c>
      <c r="M41" s="31" t="s">
        <v>52</v>
      </c>
      <c r="N41" s="33" t="str">
        <f t="shared" si="7"/>
        <v>FAIL</v>
      </c>
      <c r="O41" s="34" t="str">
        <f t="shared" si="8"/>
        <v>Quarantine — do not issue to students</v>
      </c>
    </row>
    <row r="42" spans="1:15" x14ac:dyDescent="0.35">
      <c r="A42" s="30">
        <v>7</v>
      </c>
      <c r="B42" s="31" t="s">
        <v>203</v>
      </c>
      <c r="C42" s="32" t="s">
        <v>204</v>
      </c>
      <c r="D42" s="31" t="s">
        <v>245</v>
      </c>
      <c r="E42" s="31" t="s">
        <v>126</v>
      </c>
      <c r="F42" s="31">
        <v>21</v>
      </c>
      <c r="G42" s="31" t="s">
        <v>52</v>
      </c>
      <c r="H42" s="31">
        <v>70</v>
      </c>
      <c r="I42" s="31">
        <v>72.87</v>
      </c>
      <c r="J42" s="32" t="s">
        <v>206</v>
      </c>
      <c r="K42" s="30" t="str">
        <f t="shared" si="6"/>
        <v>Pass</v>
      </c>
      <c r="L42" s="32" t="s">
        <v>207</v>
      </c>
      <c r="M42" s="31" t="s">
        <v>52</v>
      </c>
      <c r="N42" s="33" t="str">
        <f t="shared" si="7"/>
        <v>PASS</v>
      </c>
      <c r="O42" s="34" t="str">
        <f t="shared" si="8"/>
        <v>Release to practicum</v>
      </c>
    </row>
    <row r="43" spans="1:15" x14ac:dyDescent="0.35">
      <c r="A43" s="35">
        <v>8</v>
      </c>
      <c r="B43" s="31" t="s">
        <v>208</v>
      </c>
      <c r="C43" s="32" t="s">
        <v>209</v>
      </c>
      <c r="D43" s="31" t="s">
        <v>246</v>
      </c>
      <c r="E43" s="31" t="s">
        <v>126</v>
      </c>
      <c r="F43" s="31">
        <v>23</v>
      </c>
      <c r="G43" s="31" t="s">
        <v>52</v>
      </c>
      <c r="H43" s="31">
        <v>400</v>
      </c>
      <c r="I43" s="31">
        <v>423.94</v>
      </c>
      <c r="J43" s="32" t="s">
        <v>206</v>
      </c>
      <c r="K43" s="30" t="str">
        <f t="shared" si="6"/>
        <v>Pass</v>
      </c>
      <c r="L43" s="32" t="s">
        <v>207</v>
      </c>
      <c r="M43" s="31" t="s">
        <v>52</v>
      </c>
      <c r="N43" s="33" t="str">
        <f t="shared" si="7"/>
        <v>PASS</v>
      </c>
      <c r="O43" s="34" t="str">
        <f t="shared" si="8"/>
        <v>Release to practicum</v>
      </c>
    </row>
    <row r="44" spans="1:15" x14ac:dyDescent="0.35">
      <c r="A44" s="30">
        <v>9</v>
      </c>
      <c r="B44" s="31" t="s">
        <v>211</v>
      </c>
      <c r="C44" s="32" t="s">
        <v>212</v>
      </c>
      <c r="D44" s="31" t="s">
        <v>247</v>
      </c>
      <c r="E44" s="31" t="s">
        <v>131</v>
      </c>
      <c r="F44" s="31">
        <v>18</v>
      </c>
      <c r="G44" s="31" t="s">
        <v>52</v>
      </c>
      <c r="H44" s="31">
        <v>0.5</v>
      </c>
      <c r="I44" s="31">
        <v>0.48</v>
      </c>
      <c r="J44" s="32" t="s">
        <v>214</v>
      </c>
      <c r="K44" s="30" t="str">
        <f t="shared" si="6"/>
        <v>Pass</v>
      </c>
      <c r="L44" s="32" t="s">
        <v>215</v>
      </c>
      <c r="M44" s="31" t="s">
        <v>52</v>
      </c>
      <c r="N44" s="33" t="str">
        <f t="shared" si="7"/>
        <v>PASS</v>
      </c>
      <c r="O44" s="34" t="str">
        <f t="shared" si="8"/>
        <v>Release to practicum</v>
      </c>
    </row>
    <row r="45" spans="1:15" x14ac:dyDescent="0.35">
      <c r="A45" s="35">
        <v>10</v>
      </c>
      <c r="B45" s="31" t="s">
        <v>216</v>
      </c>
      <c r="C45" s="32" t="s">
        <v>217</v>
      </c>
      <c r="D45" s="31" t="s">
        <v>248</v>
      </c>
      <c r="E45" s="31" t="s">
        <v>131</v>
      </c>
      <c r="F45" s="31">
        <v>21</v>
      </c>
      <c r="G45" s="31" t="s">
        <v>52</v>
      </c>
      <c r="H45" s="31">
        <v>0.5</v>
      </c>
      <c r="I45" s="31">
        <v>0.53</v>
      </c>
      <c r="J45" s="32" t="s">
        <v>214</v>
      </c>
      <c r="K45" s="30" t="str">
        <f t="shared" si="6"/>
        <v>Pass</v>
      </c>
      <c r="L45" s="32" t="s">
        <v>215</v>
      </c>
      <c r="M45" s="31" t="s">
        <v>52</v>
      </c>
      <c r="N45" s="33" t="str">
        <f t="shared" si="7"/>
        <v>PASS</v>
      </c>
      <c r="O45" s="34" t="str">
        <f t="shared" si="8"/>
        <v>Release to practicum</v>
      </c>
    </row>
    <row r="46" spans="1:15" x14ac:dyDescent="0.35">
      <c r="A46" s="30">
        <v>11</v>
      </c>
      <c r="B46" s="31" t="s">
        <v>219</v>
      </c>
      <c r="C46" s="32" t="s">
        <v>220</v>
      </c>
      <c r="D46" s="31" t="s">
        <v>249</v>
      </c>
      <c r="E46" s="31" t="s">
        <v>131</v>
      </c>
      <c r="F46" s="31">
        <v>20</v>
      </c>
      <c r="G46" s="31" t="s">
        <v>52</v>
      </c>
      <c r="H46" s="31">
        <v>2</v>
      </c>
      <c r="I46" s="31">
        <v>1.91</v>
      </c>
      <c r="J46" s="32" t="s">
        <v>222</v>
      </c>
      <c r="K46" s="30" t="str">
        <f t="shared" si="6"/>
        <v>Pass</v>
      </c>
      <c r="L46" s="32" t="s">
        <v>223</v>
      </c>
      <c r="M46" s="31" t="s">
        <v>52</v>
      </c>
      <c r="N46" s="33" t="str">
        <f t="shared" si="7"/>
        <v>PASS</v>
      </c>
      <c r="O46" s="34" t="str">
        <f t="shared" si="8"/>
        <v>Release to practicum</v>
      </c>
    </row>
    <row r="47" spans="1:15" ht="15" customHeight="1" x14ac:dyDescent="0.35">
      <c r="A47" s="35">
        <v>12</v>
      </c>
      <c r="B47" s="31" t="s">
        <v>224</v>
      </c>
      <c r="C47" s="32" t="s">
        <v>225</v>
      </c>
      <c r="D47" s="31" t="s">
        <v>250</v>
      </c>
      <c r="E47" s="31" t="s">
        <v>131</v>
      </c>
      <c r="F47" s="31">
        <v>20</v>
      </c>
      <c r="G47" s="31" t="s">
        <v>52</v>
      </c>
      <c r="H47" s="31">
        <v>2.1</v>
      </c>
      <c r="I47" s="31">
        <v>2.12</v>
      </c>
      <c r="J47" s="32" t="s">
        <v>222</v>
      </c>
      <c r="K47" s="30" t="str">
        <f t="shared" si="6"/>
        <v>Pass</v>
      </c>
      <c r="L47" s="32" t="s">
        <v>223</v>
      </c>
      <c r="M47" s="31" t="s">
        <v>52</v>
      </c>
      <c r="N47" s="33" t="str">
        <f t="shared" si="7"/>
        <v>PASS</v>
      </c>
      <c r="O47" s="34" t="str">
        <f t="shared" si="8"/>
        <v>Release to practicum</v>
      </c>
    </row>
    <row r="49" spans="1:15" ht="15.75" customHeight="1" x14ac:dyDescent="0.35">
      <c r="A49" s="3" t="s">
        <v>135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23" x14ac:dyDescent="0.35">
      <c r="A50" s="30">
        <v>1</v>
      </c>
      <c r="B50" s="31" t="s">
        <v>180</v>
      </c>
      <c r="C50" s="32" t="s">
        <v>181</v>
      </c>
      <c r="D50" s="31" t="s">
        <v>251</v>
      </c>
      <c r="E50" s="31" t="s">
        <v>137</v>
      </c>
      <c r="F50" s="31">
        <v>21</v>
      </c>
      <c r="G50" s="31" t="s">
        <v>52</v>
      </c>
      <c r="H50" s="31">
        <v>5</v>
      </c>
      <c r="I50" s="31">
        <v>5.15</v>
      </c>
      <c r="J50" s="32" t="s">
        <v>183</v>
      </c>
      <c r="K50" s="30" t="str">
        <f t="shared" ref="K50:K61" si="9">IF(G50="Fail","Fail",IF(ABS(I50-H50)/IF(H50=0,1,H50)&lt;=0.1,"Pass","Fail"))</f>
        <v>Pass</v>
      </c>
      <c r="L50" s="32" t="s">
        <v>184</v>
      </c>
      <c r="M50" s="31" t="s">
        <v>52</v>
      </c>
      <c r="N50" s="33" t="str">
        <f t="shared" ref="N50:N61" si="10">IF(AND(G50="Pass",K50="Pass",M50="Pass"),"PASS","FAIL")</f>
        <v>PASS</v>
      </c>
      <c r="O50" s="34" t="str">
        <f t="shared" ref="O50:O61" si="11">IF(N50="PASS","Release to practicum","Quarantine — do not issue to students")</f>
        <v>Release to practicum</v>
      </c>
    </row>
    <row r="51" spans="1:15" ht="23" x14ac:dyDescent="0.35">
      <c r="A51" s="35">
        <v>2</v>
      </c>
      <c r="B51" s="31" t="s">
        <v>185</v>
      </c>
      <c r="C51" s="32" t="s">
        <v>186</v>
      </c>
      <c r="D51" s="31" t="s">
        <v>252</v>
      </c>
      <c r="E51" s="31" t="s">
        <v>137</v>
      </c>
      <c r="F51" s="31">
        <v>20</v>
      </c>
      <c r="G51" s="31" t="s">
        <v>52</v>
      </c>
      <c r="H51" s="31">
        <v>5</v>
      </c>
      <c r="I51" s="31">
        <v>5.37</v>
      </c>
      <c r="J51" s="32" t="s">
        <v>183</v>
      </c>
      <c r="K51" s="30" t="str">
        <f t="shared" si="9"/>
        <v>Pass</v>
      </c>
      <c r="L51" s="32" t="s">
        <v>184</v>
      </c>
      <c r="M51" s="31" t="s">
        <v>52</v>
      </c>
      <c r="N51" s="33" t="str">
        <f t="shared" si="10"/>
        <v>PASS</v>
      </c>
      <c r="O51" s="34" t="str">
        <f t="shared" si="11"/>
        <v>Release to practicum</v>
      </c>
    </row>
    <row r="52" spans="1:15" ht="23" x14ac:dyDescent="0.35">
      <c r="A52" s="30">
        <v>3</v>
      </c>
      <c r="B52" s="31" t="s">
        <v>188</v>
      </c>
      <c r="C52" s="32" t="s">
        <v>189</v>
      </c>
      <c r="D52" s="31" t="s">
        <v>253</v>
      </c>
      <c r="E52" s="31" t="s">
        <v>137</v>
      </c>
      <c r="F52" s="31">
        <v>24</v>
      </c>
      <c r="G52" s="31" t="s">
        <v>52</v>
      </c>
      <c r="H52" s="31">
        <v>5</v>
      </c>
      <c r="I52" s="31">
        <v>5.17</v>
      </c>
      <c r="J52" s="32" t="s">
        <v>183</v>
      </c>
      <c r="K52" s="30" t="str">
        <f t="shared" si="9"/>
        <v>Pass</v>
      </c>
      <c r="L52" s="32" t="s">
        <v>184</v>
      </c>
      <c r="M52" s="31" t="s">
        <v>52</v>
      </c>
      <c r="N52" s="33" t="str">
        <f t="shared" si="10"/>
        <v>PASS</v>
      </c>
      <c r="O52" s="34" t="str">
        <f t="shared" si="11"/>
        <v>Release to practicum</v>
      </c>
    </row>
    <row r="53" spans="1:15" ht="23" x14ac:dyDescent="0.35">
      <c r="A53" s="35">
        <v>4</v>
      </c>
      <c r="B53" s="31" t="s">
        <v>191</v>
      </c>
      <c r="C53" s="32" t="s">
        <v>192</v>
      </c>
      <c r="D53" s="31" t="s">
        <v>254</v>
      </c>
      <c r="E53" s="31" t="s">
        <v>137</v>
      </c>
      <c r="F53" s="31">
        <v>23</v>
      </c>
      <c r="G53" s="31" t="s">
        <v>52</v>
      </c>
      <c r="H53" s="31">
        <v>5</v>
      </c>
      <c r="I53" s="31">
        <v>4.5599999999999996</v>
      </c>
      <c r="J53" s="32" t="s">
        <v>183</v>
      </c>
      <c r="K53" s="30" t="str">
        <f t="shared" si="9"/>
        <v>Pass</v>
      </c>
      <c r="L53" s="32" t="s">
        <v>194</v>
      </c>
      <c r="M53" s="31" t="s">
        <v>75</v>
      </c>
      <c r="N53" s="33" t="str">
        <f t="shared" si="10"/>
        <v>FAIL</v>
      </c>
      <c r="O53" s="34" t="str">
        <f t="shared" si="11"/>
        <v>Quarantine — do not issue to students</v>
      </c>
    </row>
    <row r="54" spans="1:15" ht="15" customHeight="1" x14ac:dyDescent="0.35">
      <c r="A54" s="30">
        <v>5</v>
      </c>
      <c r="B54" s="31" t="s">
        <v>195</v>
      </c>
      <c r="C54" s="32" t="s">
        <v>196</v>
      </c>
      <c r="D54" s="31" t="s">
        <v>255</v>
      </c>
      <c r="E54" s="31" t="s">
        <v>142</v>
      </c>
      <c r="F54" s="31">
        <v>25</v>
      </c>
      <c r="G54" s="31" t="s">
        <v>52</v>
      </c>
      <c r="H54" s="31">
        <v>5</v>
      </c>
      <c r="I54" s="31">
        <v>4.7</v>
      </c>
      <c r="J54" s="32" t="s">
        <v>183</v>
      </c>
      <c r="K54" s="30" t="str">
        <f t="shared" si="9"/>
        <v>Pass</v>
      </c>
      <c r="L54" s="32" t="s">
        <v>198</v>
      </c>
      <c r="M54" s="31" t="s">
        <v>52</v>
      </c>
      <c r="N54" s="33" t="str">
        <f t="shared" si="10"/>
        <v>PASS</v>
      </c>
      <c r="O54" s="34" t="str">
        <f t="shared" si="11"/>
        <v>Release to practicum</v>
      </c>
    </row>
    <row r="55" spans="1:15" ht="23" x14ac:dyDescent="0.35">
      <c r="A55" s="35">
        <v>6</v>
      </c>
      <c r="B55" s="31" t="s">
        <v>199</v>
      </c>
      <c r="C55" s="32" t="s">
        <v>200</v>
      </c>
      <c r="D55" s="31" t="s">
        <v>256</v>
      </c>
      <c r="E55" s="31" t="s">
        <v>142</v>
      </c>
      <c r="F55" s="31">
        <v>24</v>
      </c>
      <c r="G55" s="31" t="s">
        <v>75</v>
      </c>
      <c r="H55" s="31">
        <v>15</v>
      </c>
      <c r="I55" s="31">
        <v>15.62</v>
      </c>
      <c r="J55" s="32" t="s">
        <v>183</v>
      </c>
      <c r="K55" s="30" t="str">
        <f t="shared" si="9"/>
        <v>Fail</v>
      </c>
      <c r="L55" s="32" t="s">
        <v>202</v>
      </c>
      <c r="M55" s="31" t="s">
        <v>52</v>
      </c>
      <c r="N55" s="33" t="str">
        <f t="shared" si="10"/>
        <v>FAIL</v>
      </c>
      <c r="O55" s="34" t="str">
        <f t="shared" si="11"/>
        <v>Quarantine — do not issue to students</v>
      </c>
    </row>
    <row r="56" spans="1:15" x14ac:dyDescent="0.35">
      <c r="A56" s="30">
        <v>7</v>
      </c>
      <c r="B56" s="31" t="s">
        <v>203</v>
      </c>
      <c r="C56" s="32" t="s">
        <v>204</v>
      </c>
      <c r="D56" s="31" t="s">
        <v>257</v>
      </c>
      <c r="E56" s="31" t="s">
        <v>142</v>
      </c>
      <c r="F56" s="31">
        <v>19</v>
      </c>
      <c r="G56" s="31" t="s">
        <v>52</v>
      </c>
      <c r="H56" s="31">
        <v>70</v>
      </c>
      <c r="I56" s="31">
        <v>69.03</v>
      </c>
      <c r="J56" s="32" t="s">
        <v>206</v>
      </c>
      <c r="K56" s="30" t="str">
        <f t="shared" si="9"/>
        <v>Pass</v>
      </c>
      <c r="L56" s="32" t="s">
        <v>207</v>
      </c>
      <c r="M56" s="31" t="s">
        <v>52</v>
      </c>
      <c r="N56" s="33" t="str">
        <f t="shared" si="10"/>
        <v>PASS</v>
      </c>
      <c r="O56" s="34" t="str">
        <f t="shared" si="11"/>
        <v>Release to practicum</v>
      </c>
    </row>
    <row r="57" spans="1:15" ht="23" x14ac:dyDescent="0.35">
      <c r="A57" s="35">
        <v>8</v>
      </c>
      <c r="B57" s="31" t="s">
        <v>208</v>
      </c>
      <c r="C57" s="32" t="s">
        <v>209</v>
      </c>
      <c r="D57" s="31" t="s">
        <v>258</v>
      </c>
      <c r="E57" s="31" t="s">
        <v>142</v>
      </c>
      <c r="F57" s="31">
        <v>24</v>
      </c>
      <c r="G57" s="31" t="s">
        <v>52</v>
      </c>
      <c r="H57" s="31">
        <v>400</v>
      </c>
      <c r="I57" s="31">
        <v>441.9</v>
      </c>
      <c r="J57" s="32" t="s">
        <v>206</v>
      </c>
      <c r="K57" s="30" t="str">
        <f t="shared" si="9"/>
        <v>Fail</v>
      </c>
      <c r="L57" s="32" t="s">
        <v>207</v>
      </c>
      <c r="M57" s="31" t="s">
        <v>52</v>
      </c>
      <c r="N57" s="33" t="str">
        <f t="shared" si="10"/>
        <v>FAIL</v>
      </c>
      <c r="O57" s="34" t="str">
        <f t="shared" si="11"/>
        <v>Quarantine — do not issue to students</v>
      </c>
    </row>
    <row r="58" spans="1:15" ht="23" x14ac:dyDescent="0.35">
      <c r="A58" s="30">
        <v>9</v>
      </c>
      <c r="B58" s="31" t="s">
        <v>211</v>
      </c>
      <c r="C58" s="32" t="s">
        <v>212</v>
      </c>
      <c r="D58" s="31" t="s">
        <v>259</v>
      </c>
      <c r="E58" s="31" t="s">
        <v>147</v>
      </c>
      <c r="F58" s="31">
        <v>25</v>
      </c>
      <c r="G58" s="31" t="s">
        <v>52</v>
      </c>
      <c r="H58" s="31">
        <v>0.5</v>
      </c>
      <c r="I58" s="31">
        <v>0.47</v>
      </c>
      <c r="J58" s="32" t="s">
        <v>214</v>
      </c>
      <c r="K58" s="30" t="str">
        <f t="shared" si="9"/>
        <v>Pass</v>
      </c>
      <c r="L58" s="32" t="s">
        <v>215</v>
      </c>
      <c r="M58" s="31" t="s">
        <v>75</v>
      </c>
      <c r="N58" s="33" t="str">
        <f t="shared" si="10"/>
        <v>FAIL</v>
      </c>
      <c r="O58" s="34" t="str">
        <f t="shared" si="11"/>
        <v>Quarantine — do not issue to students</v>
      </c>
    </row>
    <row r="59" spans="1:15" ht="23" x14ac:dyDescent="0.35">
      <c r="A59" s="35">
        <v>10</v>
      </c>
      <c r="B59" s="31" t="s">
        <v>216</v>
      </c>
      <c r="C59" s="32" t="s">
        <v>217</v>
      </c>
      <c r="D59" s="31" t="s">
        <v>260</v>
      </c>
      <c r="E59" s="31" t="s">
        <v>147</v>
      </c>
      <c r="F59" s="31">
        <v>22</v>
      </c>
      <c r="G59" s="31" t="s">
        <v>52</v>
      </c>
      <c r="H59" s="31">
        <v>0.5</v>
      </c>
      <c r="I59" s="31">
        <v>0.5</v>
      </c>
      <c r="J59" s="32" t="s">
        <v>214</v>
      </c>
      <c r="K59" s="30" t="str">
        <f t="shared" si="9"/>
        <v>Pass</v>
      </c>
      <c r="L59" s="32" t="s">
        <v>215</v>
      </c>
      <c r="M59" s="31" t="s">
        <v>75</v>
      </c>
      <c r="N59" s="33" t="str">
        <f t="shared" si="10"/>
        <v>FAIL</v>
      </c>
      <c r="O59" s="34" t="str">
        <f t="shared" si="11"/>
        <v>Quarantine — do not issue to students</v>
      </c>
    </row>
    <row r="60" spans="1:15" x14ac:dyDescent="0.35">
      <c r="A60" s="30">
        <v>11</v>
      </c>
      <c r="B60" s="31" t="s">
        <v>219</v>
      </c>
      <c r="C60" s="32" t="s">
        <v>220</v>
      </c>
      <c r="D60" s="31" t="s">
        <v>261</v>
      </c>
      <c r="E60" s="31" t="s">
        <v>147</v>
      </c>
      <c r="F60" s="31">
        <v>23</v>
      </c>
      <c r="G60" s="31" t="s">
        <v>52</v>
      </c>
      <c r="H60" s="31">
        <v>2</v>
      </c>
      <c r="I60" s="31">
        <v>1.94</v>
      </c>
      <c r="J60" s="32" t="s">
        <v>222</v>
      </c>
      <c r="K60" s="30" t="str">
        <f t="shared" si="9"/>
        <v>Pass</v>
      </c>
      <c r="L60" s="32" t="s">
        <v>223</v>
      </c>
      <c r="M60" s="31" t="s">
        <v>52</v>
      </c>
      <c r="N60" s="33" t="str">
        <f t="shared" si="10"/>
        <v>PASS</v>
      </c>
      <c r="O60" s="34" t="str">
        <f t="shared" si="11"/>
        <v>Release to practicum</v>
      </c>
    </row>
    <row r="61" spans="1:15" x14ac:dyDescent="0.35">
      <c r="A61" s="35">
        <v>12</v>
      </c>
      <c r="B61" s="31" t="s">
        <v>224</v>
      </c>
      <c r="C61" s="32" t="s">
        <v>225</v>
      </c>
      <c r="D61" s="31" t="s">
        <v>262</v>
      </c>
      <c r="E61" s="31" t="s">
        <v>147</v>
      </c>
      <c r="F61" s="31">
        <v>25</v>
      </c>
      <c r="G61" s="31" t="s">
        <v>52</v>
      </c>
      <c r="H61" s="31">
        <v>2.1</v>
      </c>
      <c r="I61" s="31">
        <v>2.25</v>
      </c>
      <c r="J61" s="32" t="s">
        <v>222</v>
      </c>
      <c r="K61" s="30" t="str">
        <f t="shared" si="9"/>
        <v>Pass</v>
      </c>
      <c r="L61" s="32" t="s">
        <v>223</v>
      </c>
      <c r="M61" s="31" t="s">
        <v>52</v>
      </c>
      <c r="N61" s="33" t="str">
        <f t="shared" si="10"/>
        <v>PASS</v>
      </c>
      <c r="O61" s="34" t="str">
        <f t="shared" si="11"/>
        <v>Release to practicum</v>
      </c>
    </row>
    <row r="64" spans="1:15" ht="15" customHeight="1" x14ac:dyDescent="0.35">
      <c r="A64" s="59" t="s">
        <v>150</v>
      </c>
      <c r="B64" s="59"/>
      <c r="C64" s="59"/>
      <c r="D64" s="59"/>
      <c r="E64" s="59"/>
      <c r="F64" s="59"/>
    </row>
    <row r="65" spans="1:15" ht="15" customHeight="1" x14ac:dyDescent="0.35">
      <c r="A65" s="11" t="s">
        <v>151</v>
      </c>
      <c r="B65" s="11"/>
      <c r="C65" s="11"/>
      <c r="D65" s="11"/>
      <c r="E65" s="11"/>
      <c r="F65" s="11"/>
      <c r="G65" s="16" t="s">
        <v>152</v>
      </c>
      <c r="H65" s="16" t="s">
        <v>153</v>
      </c>
      <c r="I65" s="16" t="s">
        <v>154</v>
      </c>
      <c r="J65" s="16" t="s">
        <v>155</v>
      </c>
      <c r="K65" s="16" t="s">
        <v>156</v>
      </c>
    </row>
    <row r="66" spans="1:15" ht="15" customHeight="1" x14ac:dyDescent="0.35">
      <c r="H66" s="37">
        <f>COUNTA(B8:B61)</f>
        <v>48</v>
      </c>
      <c r="I66" s="37">
        <f>COUNTIF(N8:N61,"PASS")</f>
        <v>34</v>
      </c>
      <c r="J66" s="37">
        <f>COUNTIF(N8:N61,"FAIL")</f>
        <v>14</v>
      </c>
      <c r="K66" s="38">
        <f>IFERROR(I66/H66,0)</f>
        <v>0.70833333333333337</v>
      </c>
    </row>
    <row r="67" spans="1:15" ht="6" customHeight="1" x14ac:dyDescent="0.35"/>
    <row r="68" spans="1:15" ht="18" customHeight="1" x14ac:dyDescent="0.35">
      <c r="A68" s="62" t="s">
        <v>263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</row>
    <row r="69" spans="1:15" ht="18" customHeight="1" x14ac:dyDescent="0.35">
      <c r="A69" s="27" t="s">
        <v>13</v>
      </c>
      <c r="B69" s="2" t="s">
        <v>14</v>
      </c>
      <c r="C69" s="2"/>
      <c r="D69" s="2"/>
      <c r="E69" s="2"/>
      <c r="F69" s="2"/>
      <c r="G69" s="2"/>
      <c r="H69" s="1"/>
      <c r="I69" s="1"/>
      <c r="J69" s="1"/>
      <c r="K69" s="1"/>
      <c r="L69" s="1"/>
      <c r="M69" s="1"/>
      <c r="N69" s="1"/>
      <c r="O69" s="1"/>
    </row>
    <row r="70" spans="1:15" ht="28.5" customHeight="1" x14ac:dyDescent="0.35">
      <c r="A70" s="28" t="s">
        <v>158</v>
      </c>
      <c r="B70" s="50" t="s">
        <v>159</v>
      </c>
      <c r="C70" s="50"/>
      <c r="D70" s="50"/>
      <c r="E70" s="50"/>
      <c r="F70" s="50"/>
      <c r="G70" s="50"/>
      <c r="H70" s="51" t="s">
        <v>160</v>
      </c>
      <c r="I70" s="51"/>
      <c r="J70" s="51"/>
      <c r="K70" s="51"/>
      <c r="L70" s="51"/>
      <c r="M70" s="51"/>
      <c r="N70" s="51"/>
      <c r="O70" s="51"/>
    </row>
    <row r="71" spans="1:15" ht="23" customHeight="1" x14ac:dyDescent="0.35">
      <c r="A71" s="29" t="s">
        <v>161</v>
      </c>
      <c r="B71" s="52" t="s">
        <v>162</v>
      </c>
      <c r="C71" s="52"/>
      <c r="D71" s="52"/>
      <c r="E71" s="52"/>
      <c r="F71" s="52"/>
      <c r="G71" s="52"/>
      <c r="H71" s="53" t="s">
        <v>163</v>
      </c>
      <c r="I71" s="53"/>
      <c r="J71" s="53"/>
      <c r="K71" s="53"/>
      <c r="L71" s="53"/>
      <c r="M71" s="53"/>
      <c r="N71" s="53"/>
      <c r="O71" s="53"/>
    </row>
    <row r="72" spans="1:15" ht="22.5" customHeight="1" x14ac:dyDescent="0.35">
      <c r="A72" s="28" t="s">
        <v>164</v>
      </c>
      <c r="B72" s="50" t="s">
        <v>165</v>
      </c>
      <c r="C72" s="50"/>
      <c r="D72" s="50"/>
      <c r="E72" s="50"/>
      <c r="F72" s="50"/>
      <c r="G72" s="50"/>
      <c r="H72" s="51" t="s">
        <v>166</v>
      </c>
      <c r="I72" s="51"/>
      <c r="J72" s="51"/>
      <c r="K72" s="51"/>
      <c r="L72" s="51"/>
      <c r="M72" s="51"/>
      <c r="N72" s="51"/>
      <c r="O72" s="51"/>
    </row>
    <row r="73" spans="1:15" ht="24.5" customHeight="1" x14ac:dyDescent="0.35">
      <c r="A73" s="29" t="s">
        <v>167</v>
      </c>
      <c r="B73" s="52" t="s">
        <v>168</v>
      </c>
      <c r="C73" s="52"/>
      <c r="D73" s="52"/>
      <c r="E73" s="52"/>
      <c r="F73" s="52"/>
      <c r="G73" s="52"/>
      <c r="H73" s="53" t="s">
        <v>169</v>
      </c>
      <c r="I73" s="53"/>
      <c r="J73" s="53"/>
      <c r="K73" s="53"/>
      <c r="L73" s="53"/>
      <c r="M73" s="53"/>
      <c r="N73" s="53"/>
      <c r="O73" s="53"/>
    </row>
    <row r="74" spans="1:15" x14ac:dyDescent="0.35">
      <c r="A74" s="28" t="s">
        <v>170</v>
      </c>
      <c r="B74" s="50" t="s">
        <v>171</v>
      </c>
      <c r="C74" s="50"/>
      <c r="D74" s="50"/>
      <c r="E74" s="50"/>
      <c r="F74" s="50"/>
      <c r="G74" s="50"/>
      <c r="H74" s="51" t="s">
        <v>172</v>
      </c>
      <c r="I74" s="51"/>
      <c r="J74" s="51"/>
      <c r="K74" s="51"/>
      <c r="L74" s="51"/>
      <c r="M74" s="51"/>
      <c r="N74" s="51"/>
      <c r="O74" s="51"/>
    </row>
    <row r="75" spans="1:15" x14ac:dyDescent="0.35">
      <c r="A75" s="29" t="s">
        <v>173</v>
      </c>
      <c r="B75" s="52" t="s">
        <v>171</v>
      </c>
      <c r="C75" s="52"/>
      <c r="D75" s="52"/>
      <c r="E75" s="52"/>
      <c r="F75" s="52"/>
      <c r="G75" s="52"/>
      <c r="H75" s="53" t="s">
        <v>174</v>
      </c>
      <c r="I75" s="53"/>
      <c r="J75" s="53"/>
      <c r="K75" s="53"/>
      <c r="L75" s="53"/>
      <c r="M75" s="53"/>
      <c r="N75" s="53"/>
      <c r="O75" s="53"/>
    </row>
    <row r="76" spans="1:15" ht="22" customHeight="1" x14ac:dyDescent="0.35">
      <c r="A76" s="28" t="s">
        <v>175</v>
      </c>
      <c r="B76" s="50" t="s">
        <v>168</v>
      </c>
      <c r="C76" s="50"/>
      <c r="D76" s="50"/>
      <c r="E76" s="50"/>
      <c r="F76" s="50"/>
      <c r="G76" s="50"/>
      <c r="H76" s="51" t="s">
        <v>176</v>
      </c>
      <c r="I76" s="51"/>
      <c r="J76" s="51"/>
      <c r="K76" s="51"/>
      <c r="L76" s="51"/>
      <c r="M76" s="51"/>
      <c r="N76" s="51"/>
      <c r="O76" s="51"/>
    </row>
    <row r="77" spans="1:15" ht="15.75" customHeight="1" x14ac:dyDescent="0.35">
      <c r="A77" s="54" t="s">
        <v>177</v>
      </c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</row>
  </sheetData>
  <mergeCells count="28">
    <mergeCell ref="A77:O77"/>
    <mergeCell ref="B74:G74"/>
    <mergeCell ref="H74:O74"/>
    <mergeCell ref="B75:G75"/>
    <mergeCell ref="H75:O75"/>
    <mergeCell ref="B76:G76"/>
    <mergeCell ref="H76:O76"/>
    <mergeCell ref="B71:G71"/>
    <mergeCell ref="H71:O71"/>
    <mergeCell ref="B72:G72"/>
    <mergeCell ref="H72:O72"/>
    <mergeCell ref="B73:G73"/>
    <mergeCell ref="H73:O73"/>
    <mergeCell ref="A68:O68"/>
    <mergeCell ref="B69:G69"/>
    <mergeCell ref="H69:O69"/>
    <mergeCell ref="B70:G70"/>
    <mergeCell ref="H70:O70"/>
    <mergeCell ref="A21:O21"/>
    <mergeCell ref="A35:O35"/>
    <mergeCell ref="A49:O49"/>
    <mergeCell ref="A64:F64"/>
    <mergeCell ref="A65:F65"/>
    <mergeCell ref="A1:O1"/>
    <mergeCell ref="A2:O2"/>
    <mergeCell ref="A3:O3"/>
    <mergeCell ref="A6:O6"/>
    <mergeCell ref="A7:O7"/>
  </mergeCells>
  <conditionalFormatting sqref="G8:G61">
    <cfRule type="cellIs" dxfId="25" priority="2" operator="equal">
      <formula>"Pass"</formula>
    </cfRule>
    <cfRule type="cellIs" dxfId="24" priority="3" operator="equal">
      <formula>"Fail"</formula>
    </cfRule>
  </conditionalFormatting>
  <conditionalFormatting sqref="K8:K61">
    <cfRule type="cellIs" dxfId="23" priority="4" operator="equal">
      <formula>"Pass"</formula>
    </cfRule>
    <cfRule type="cellIs" dxfId="22" priority="5" operator="equal">
      <formula>"Fail"</formula>
    </cfRule>
  </conditionalFormatting>
  <conditionalFormatting sqref="M8:M61">
    <cfRule type="cellIs" dxfId="21" priority="6" operator="equal">
      <formula>"Pass"</formula>
    </cfRule>
    <cfRule type="cellIs" dxfId="20" priority="7" operator="equal">
      <formula>"Fail"</formula>
    </cfRule>
  </conditionalFormatting>
  <conditionalFormatting sqref="N8:N61">
    <cfRule type="cellIs" dxfId="19" priority="8" operator="equal">
      <formula>"PASS"</formula>
    </cfRule>
    <cfRule type="cellIs" dxfId="18" priority="9" operator="equal">
      <formula>"FAIL"</formula>
    </cfRule>
  </conditionalFormatting>
  <pageMargins left="0.4" right="0.4" top="0.5" bottom="0.5" header="0.3" footer="0.3"/>
  <pageSetup paperSize="9" orientation="landscape" r:id="rId1"/>
  <headerFooter>
    <oddHeader>&amp;C&amp;9 Elek_Digital</oddHeader>
    <oddFooter>&amp;L&amp;8 Lab Sensor Sistem Telekontrol — DTNTF UGM | Component QC Log&amp;R&amp;8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7"/>
  <sheetViews>
    <sheetView showGridLines="0" zoomScale="80" zoomScaleNormal="80" workbookViewId="0">
      <pane ySplit="5" topLeftCell="A71" activePane="bottomLeft" state="frozen"/>
      <selection pane="bottomLeft" activeCell="A18" sqref="A18"/>
    </sheetView>
  </sheetViews>
  <sheetFormatPr defaultColWidth="8.6328125" defaultRowHeight="14.5" x14ac:dyDescent="0.35"/>
  <cols>
    <col min="1" max="1" width="22.26953125" bestFit="1" customWidth="1"/>
    <col min="2" max="2" width="12.08984375" bestFit="1" customWidth="1"/>
    <col min="3" max="3" width="17.26953125" bestFit="1" customWidth="1"/>
    <col min="4" max="4" width="12" customWidth="1"/>
    <col min="5" max="5" width="9.81640625" bestFit="1" customWidth="1"/>
    <col min="6" max="6" width="3.6328125" bestFit="1" customWidth="1"/>
    <col min="7" max="7" width="9.08984375" bestFit="1" customWidth="1"/>
    <col min="8" max="8" width="11.81640625" bestFit="1" customWidth="1"/>
    <col min="9" max="9" width="8.6328125" bestFit="1" customWidth="1"/>
    <col min="10" max="10" width="14.1796875" bestFit="1" customWidth="1"/>
    <col min="11" max="11" width="8.7265625" bestFit="1" customWidth="1"/>
    <col min="12" max="12" width="16.1796875" bestFit="1" customWidth="1"/>
    <col min="13" max="13" width="5.90625" bestFit="1" customWidth="1"/>
    <col min="14" max="14" width="6.54296875" bestFit="1" customWidth="1"/>
    <col min="15" max="15" width="29.08984375" bestFit="1" customWidth="1"/>
  </cols>
  <sheetData>
    <row r="1" spans="1:15" ht="27.75" customHeight="1" x14ac:dyDescent="0.35">
      <c r="A1" s="63" t="s">
        <v>264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ht="15.75" customHeight="1" x14ac:dyDescent="0.35">
      <c r="A2" s="56" t="s">
        <v>29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5" ht="15.75" customHeight="1" x14ac:dyDescent="0.35">
      <c r="A3" s="57" t="s">
        <v>265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ht="3.75" customHeight="1" x14ac:dyDescent="0.35"/>
    <row r="5" spans="1:15" ht="36" customHeight="1" x14ac:dyDescent="0.35">
      <c r="A5" s="17" t="s">
        <v>31</v>
      </c>
      <c r="B5" s="17" t="s">
        <v>32</v>
      </c>
      <c r="C5" s="17" t="s">
        <v>33</v>
      </c>
      <c r="D5" s="17" t="s">
        <v>34</v>
      </c>
      <c r="E5" s="17" t="s">
        <v>35</v>
      </c>
      <c r="F5" s="17" t="s">
        <v>36</v>
      </c>
      <c r="G5" s="17" t="s">
        <v>37</v>
      </c>
      <c r="H5" s="17" t="s">
        <v>38</v>
      </c>
      <c r="I5" s="17" t="s">
        <v>39</v>
      </c>
      <c r="J5" s="17" t="s">
        <v>40</v>
      </c>
      <c r="K5" s="17" t="s">
        <v>41</v>
      </c>
      <c r="L5" s="17" t="s">
        <v>42</v>
      </c>
      <c r="M5" s="17" t="s">
        <v>43</v>
      </c>
      <c r="N5" s="17" t="s">
        <v>44</v>
      </c>
      <c r="O5" s="17" t="s">
        <v>45</v>
      </c>
    </row>
    <row r="6" spans="1:15" ht="13.5" customHeight="1" x14ac:dyDescent="0.35">
      <c r="A6" s="58" t="s">
        <v>46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</row>
    <row r="7" spans="1:15" ht="15.75" customHeight="1" x14ac:dyDescent="0.35">
      <c r="A7" s="3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35">
      <c r="A8" s="30">
        <v>1</v>
      </c>
      <c r="B8" s="31" t="s">
        <v>266</v>
      </c>
      <c r="C8" s="32" t="s">
        <v>267</v>
      </c>
      <c r="D8" s="31" t="s">
        <v>268</v>
      </c>
      <c r="E8" s="31" t="s">
        <v>51</v>
      </c>
      <c r="F8" s="31">
        <v>22</v>
      </c>
      <c r="G8" s="31" t="s">
        <v>52</v>
      </c>
      <c r="H8" s="31">
        <v>10</v>
      </c>
      <c r="I8" s="31">
        <v>10.7</v>
      </c>
      <c r="J8" s="32" t="s">
        <v>269</v>
      </c>
      <c r="K8" s="30" t="str">
        <f t="shared" ref="K8:K19" si="0">IF(G8="Fail","Fail",IF(ABS(I8-H8)/IF(H8=0,1,H8)&lt;=0.1,"Pass","Fail"))</f>
        <v>Pass</v>
      </c>
      <c r="L8" s="32" t="s">
        <v>270</v>
      </c>
      <c r="M8" s="31" t="s">
        <v>52</v>
      </c>
      <c r="N8" s="33" t="str">
        <f t="shared" ref="N8:N19" si="1">IF(AND(G8="Pass",K8="Pass",M8="Pass"),"PASS","FAIL")</f>
        <v>PASS</v>
      </c>
      <c r="O8" s="34" t="str">
        <f t="shared" ref="O8:O19" si="2">IF(N8="PASS","Release to practicum","Quarantine — do not issue to students")</f>
        <v>Release to practicum</v>
      </c>
    </row>
    <row r="9" spans="1:15" x14ac:dyDescent="0.35">
      <c r="A9" s="35">
        <v>2</v>
      </c>
      <c r="B9" s="31" t="s">
        <v>271</v>
      </c>
      <c r="C9" s="32" t="s">
        <v>272</v>
      </c>
      <c r="D9" s="31" t="s">
        <v>273</v>
      </c>
      <c r="E9" s="31" t="s">
        <v>51</v>
      </c>
      <c r="F9" s="31">
        <v>22</v>
      </c>
      <c r="G9" s="31" t="s">
        <v>52</v>
      </c>
      <c r="H9" s="31">
        <v>0.5</v>
      </c>
      <c r="I9" s="31">
        <v>0.54</v>
      </c>
      <c r="J9" s="32" t="s">
        <v>274</v>
      </c>
      <c r="K9" s="30" t="str">
        <f t="shared" si="0"/>
        <v>Pass</v>
      </c>
      <c r="L9" s="32" t="s">
        <v>275</v>
      </c>
      <c r="M9" s="31" t="s">
        <v>52</v>
      </c>
      <c r="N9" s="33" t="str">
        <f t="shared" si="1"/>
        <v>PASS</v>
      </c>
      <c r="O9" s="34" t="str">
        <f t="shared" si="2"/>
        <v>Release to practicum</v>
      </c>
    </row>
    <row r="10" spans="1:15" x14ac:dyDescent="0.35">
      <c r="A10" s="30">
        <v>3</v>
      </c>
      <c r="B10" s="31" t="s">
        <v>276</v>
      </c>
      <c r="C10" s="32" t="s">
        <v>277</v>
      </c>
      <c r="D10" s="31" t="s">
        <v>278</v>
      </c>
      <c r="E10" s="31" t="s">
        <v>51</v>
      </c>
      <c r="F10" s="31">
        <v>24</v>
      </c>
      <c r="G10" s="31" t="s">
        <v>75</v>
      </c>
      <c r="H10" s="31">
        <v>1</v>
      </c>
      <c r="I10" s="31">
        <v>1.0900000000000001</v>
      </c>
      <c r="J10" s="32" t="s">
        <v>274</v>
      </c>
      <c r="K10" s="30" t="str">
        <f t="shared" si="0"/>
        <v>Fail</v>
      </c>
      <c r="L10" s="32" t="s">
        <v>279</v>
      </c>
      <c r="M10" s="31" t="s">
        <v>52</v>
      </c>
      <c r="N10" s="33" t="str">
        <f t="shared" si="1"/>
        <v>FAIL</v>
      </c>
      <c r="O10" s="34" t="str">
        <f t="shared" si="2"/>
        <v>Quarantine — do not issue to students</v>
      </c>
    </row>
    <row r="11" spans="1:15" x14ac:dyDescent="0.35">
      <c r="A11" s="35">
        <v>4</v>
      </c>
      <c r="B11" s="31" t="s">
        <v>280</v>
      </c>
      <c r="C11" s="32" t="s">
        <v>281</v>
      </c>
      <c r="D11" s="31" t="s">
        <v>282</v>
      </c>
      <c r="E11" s="31" t="s">
        <v>51</v>
      </c>
      <c r="F11" s="31">
        <v>22</v>
      </c>
      <c r="G11" s="31" t="s">
        <v>52</v>
      </c>
      <c r="H11" s="31">
        <v>10</v>
      </c>
      <c r="I11" s="31">
        <v>9.25</v>
      </c>
      <c r="J11" s="32" t="s">
        <v>283</v>
      </c>
      <c r="K11" s="30" t="str">
        <f t="shared" si="0"/>
        <v>Pass</v>
      </c>
      <c r="L11" s="32" t="s">
        <v>284</v>
      </c>
      <c r="M11" s="31" t="s">
        <v>52</v>
      </c>
      <c r="N11" s="33" t="str">
        <f t="shared" si="1"/>
        <v>PASS</v>
      </c>
      <c r="O11" s="34" t="str">
        <f t="shared" si="2"/>
        <v>Release to practicum</v>
      </c>
    </row>
    <row r="12" spans="1:15" x14ac:dyDescent="0.35">
      <c r="A12" s="30">
        <v>5</v>
      </c>
      <c r="B12" s="31" t="s">
        <v>285</v>
      </c>
      <c r="C12" s="32" t="s">
        <v>286</v>
      </c>
      <c r="D12" s="31" t="s">
        <v>287</v>
      </c>
      <c r="E12" s="31" t="s">
        <v>69</v>
      </c>
      <c r="F12" s="31">
        <v>22</v>
      </c>
      <c r="G12" s="31" t="s">
        <v>52</v>
      </c>
      <c r="H12" s="31">
        <v>5</v>
      </c>
      <c r="I12" s="31">
        <v>4.5999999999999996</v>
      </c>
      <c r="J12" s="32" t="s">
        <v>288</v>
      </c>
      <c r="K12" s="30" t="str">
        <f t="shared" si="0"/>
        <v>Pass</v>
      </c>
      <c r="L12" s="32" t="s">
        <v>289</v>
      </c>
      <c r="M12" s="31" t="s">
        <v>52</v>
      </c>
      <c r="N12" s="33" t="str">
        <f t="shared" si="1"/>
        <v>PASS</v>
      </c>
      <c r="O12" s="34" t="str">
        <f t="shared" si="2"/>
        <v>Release to practicum</v>
      </c>
    </row>
    <row r="13" spans="1:15" ht="15" customHeight="1" x14ac:dyDescent="0.35">
      <c r="A13" s="35">
        <v>6</v>
      </c>
      <c r="B13" s="31" t="s">
        <v>290</v>
      </c>
      <c r="C13" s="32" t="s">
        <v>291</v>
      </c>
      <c r="D13" s="31" t="s">
        <v>292</v>
      </c>
      <c r="E13" s="31" t="s">
        <v>69</v>
      </c>
      <c r="F13" s="31">
        <v>22</v>
      </c>
      <c r="G13" s="31" t="s">
        <v>52</v>
      </c>
      <c r="H13" s="31">
        <v>400</v>
      </c>
      <c r="I13" s="31">
        <v>444.68</v>
      </c>
      <c r="J13" s="32" t="s">
        <v>293</v>
      </c>
      <c r="K13" s="30" t="str">
        <f t="shared" si="0"/>
        <v>Fail</v>
      </c>
      <c r="L13" s="32" t="s">
        <v>294</v>
      </c>
      <c r="M13" s="31" t="s">
        <v>52</v>
      </c>
      <c r="N13" s="33" t="str">
        <f t="shared" si="1"/>
        <v>FAIL</v>
      </c>
      <c r="O13" s="34" t="str">
        <f t="shared" si="2"/>
        <v>Quarantine — do not issue to students</v>
      </c>
    </row>
    <row r="14" spans="1:15" ht="15" customHeight="1" x14ac:dyDescent="0.35">
      <c r="A14" s="30">
        <v>7</v>
      </c>
      <c r="B14" s="31" t="s">
        <v>295</v>
      </c>
      <c r="C14" s="32" t="s">
        <v>296</v>
      </c>
      <c r="D14" s="31" t="s">
        <v>297</v>
      </c>
      <c r="E14" s="31" t="s">
        <v>69</v>
      </c>
      <c r="F14" s="31">
        <v>20</v>
      </c>
      <c r="G14" s="31" t="s">
        <v>52</v>
      </c>
      <c r="H14" s="31">
        <v>3.3</v>
      </c>
      <c r="I14" s="31">
        <v>2.97</v>
      </c>
      <c r="J14" s="32" t="s">
        <v>298</v>
      </c>
      <c r="K14" s="30" t="str">
        <f t="shared" si="0"/>
        <v>Pass</v>
      </c>
      <c r="L14" s="32" t="s">
        <v>299</v>
      </c>
      <c r="M14" s="31" t="s">
        <v>52</v>
      </c>
      <c r="N14" s="33" t="str">
        <f t="shared" si="1"/>
        <v>PASS</v>
      </c>
      <c r="O14" s="34" t="str">
        <f t="shared" si="2"/>
        <v>Release to practicum</v>
      </c>
    </row>
    <row r="15" spans="1:15" ht="15" customHeight="1" x14ac:dyDescent="0.35">
      <c r="A15" s="35">
        <v>8</v>
      </c>
      <c r="B15" s="31" t="s">
        <v>300</v>
      </c>
      <c r="C15" s="32" t="s">
        <v>301</v>
      </c>
      <c r="D15" s="31" t="s">
        <v>302</v>
      </c>
      <c r="E15" s="31" t="s">
        <v>69</v>
      </c>
      <c r="F15" s="31">
        <v>24</v>
      </c>
      <c r="G15" s="31" t="s">
        <v>52</v>
      </c>
      <c r="H15" s="31">
        <v>3.3</v>
      </c>
      <c r="I15" s="31">
        <v>3.53</v>
      </c>
      <c r="J15" s="32" t="s">
        <v>279</v>
      </c>
      <c r="K15" s="30" t="str">
        <f t="shared" si="0"/>
        <v>Pass</v>
      </c>
      <c r="L15" s="32" t="s">
        <v>303</v>
      </c>
      <c r="M15" s="31" t="s">
        <v>52</v>
      </c>
      <c r="N15" s="33" t="str">
        <f t="shared" si="1"/>
        <v>PASS</v>
      </c>
      <c r="O15" s="34" t="str">
        <f t="shared" si="2"/>
        <v>Release to practicum</v>
      </c>
    </row>
    <row r="16" spans="1:15" ht="15" customHeight="1" x14ac:dyDescent="0.35">
      <c r="A16" s="30">
        <v>9</v>
      </c>
      <c r="B16" s="31" t="s">
        <v>304</v>
      </c>
      <c r="C16" s="32" t="s">
        <v>305</v>
      </c>
      <c r="D16" s="31" t="s">
        <v>306</v>
      </c>
      <c r="E16" s="31" t="s">
        <v>87</v>
      </c>
      <c r="F16" s="31">
        <v>20</v>
      </c>
      <c r="G16" s="31" t="s">
        <v>52</v>
      </c>
      <c r="H16" s="31">
        <v>20</v>
      </c>
      <c r="I16" s="31">
        <v>18.77</v>
      </c>
      <c r="J16" s="32" t="s">
        <v>307</v>
      </c>
      <c r="K16" s="30" t="str">
        <f t="shared" si="0"/>
        <v>Pass</v>
      </c>
      <c r="L16" s="32" t="s">
        <v>308</v>
      </c>
      <c r="M16" s="31" t="s">
        <v>75</v>
      </c>
      <c r="N16" s="33" t="str">
        <f t="shared" si="1"/>
        <v>FAIL</v>
      </c>
      <c r="O16" s="34" t="str">
        <f t="shared" si="2"/>
        <v>Quarantine — do not issue to students</v>
      </c>
    </row>
    <row r="17" spans="1:15" ht="15" customHeight="1" x14ac:dyDescent="0.35">
      <c r="A17" s="35">
        <v>10</v>
      </c>
      <c r="B17" s="31" t="s">
        <v>309</v>
      </c>
      <c r="C17" s="32" t="s">
        <v>310</v>
      </c>
      <c r="D17" s="31" t="s">
        <v>311</v>
      </c>
      <c r="E17" s="31" t="s">
        <v>87</v>
      </c>
      <c r="F17" s="31">
        <v>21</v>
      </c>
      <c r="G17" s="31" t="s">
        <v>52</v>
      </c>
      <c r="H17" s="31">
        <v>2.5</v>
      </c>
      <c r="I17" s="31">
        <v>2.36</v>
      </c>
      <c r="J17" s="32" t="s">
        <v>269</v>
      </c>
      <c r="K17" s="30" t="str">
        <f t="shared" si="0"/>
        <v>Pass</v>
      </c>
      <c r="L17" s="32" t="s">
        <v>312</v>
      </c>
      <c r="M17" s="31" t="s">
        <v>75</v>
      </c>
      <c r="N17" s="33" t="str">
        <f t="shared" si="1"/>
        <v>FAIL</v>
      </c>
      <c r="O17" s="34" t="str">
        <f t="shared" si="2"/>
        <v>Quarantine — do not issue to students</v>
      </c>
    </row>
    <row r="18" spans="1:15" ht="15" customHeight="1" x14ac:dyDescent="0.35">
      <c r="A18" s="30">
        <v>11</v>
      </c>
      <c r="B18" s="31" t="s">
        <v>313</v>
      </c>
      <c r="C18" s="32" t="s">
        <v>314</v>
      </c>
      <c r="D18" s="31" t="s">
        <v>315</v>
      </c>
      <c r="E18" s="31" t="s">
        <v>87</v>
      </c>
      <c r="F18" s="31">
        <v>19</v>
      </c>
      <c r="G18" s="31" t="s">
        <v>52</v>
      </c>
      <c r="H18" s="31">
        <v>100</v>
      </c>
      <c r="I18" s="31">
        <v>91.49</v>
      </c>
      <c r="J18" s="32" t="s">
        <v>316</v>
      </c>
      <c r="K18" s="30" t="str">
        <f t="shared" si="0"/>
        <v>Pass</v>
      </c>
      <c r="L18" s="32" t="s">
        <v>215</v>
      </c>
      <c r="M18" s="31" t="s">
        <v>52</v>
      </c>
      <c r="N18" s="33" t="str">
        <f t="shared" si="1"/>
        <v>PASS</v>
      </c>
      <c r="O18" s="34" t="str">
        <f t="shared" si="2"/>
        <v>Release to practicum</v>
      </c>
    </row>
    <row r="19" spans="1:15" ht="15" customHeight="1" x14ac:dyDescent="0.35">
      <c r="A19" s="35">
        <v>12</v>
      </c>
      <c r="B19" s="31" t="s">
        <v>317</v>
      </c>
      <c r="C19" s="32" t="s">
        <v>318</v>
      </c>
      <c r="D19" s="31" t="s">
        <v>319</v>
      </c>
      <c r="E19" s="31" t="s">
        <v>87</v>
      </c>
      <c r="F19" s="31">
        <v>19</v>
      </c>
      <c r="G19" s="31" t="s">
        <v>52</v>
      </c>
      <c r="H19" s="31">
        <v>3.3</v>
      </c>
      <c r="I19" s="31">
        <v>3.48</v>
      </c>
      <c r="J19" s="32" t="s">
        <v>320</v>
      </c>
      <c r="K19" s="30" t="str">
        <f t="shared" si="0"/>
        <v>Pass</v>
      </c>
      <c r="L19" s="32" t="s">
        <v>279</v>
      </c>
      <c r="M19" s="31" t="s">
        <v>52</v>
      </c>
      <c r="N19" s="33" t="str">
        <f t="shared" si="1"/>
        <v>PASS</v>
      </c>
      <c r="O19" s="34" t="str">
        <f t="shared" si="2"/>
        <v>Release to practicum</v>
      </c>
    </row>
    <row r="21" spans="1:15" ht="15.75" customHeight="1" x14ac:dyDescent="0.35">
      <c r="A21" s="3" t="s">
        <v>103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35">
      <c r="A22" s="30">
        <v>1</v>
      </c>
      <c r="B22" s="31" t="s">
        <v>266</v>
      </c>
      <c r="C22" s="32" t="s">
        <v>267</v>
      </c>
      <c r="D22" s="31" t="s">
        <v>321</v>
      </c>
      <c r="E22" s="31" t="s">
        <v>105</v>
      </c>
      <c r="F22" s="31">
        <v>21</v>
      </c>
      <c r="G22" s="31" t="s">
        <v>52</v>
      </c>
      <c r="H22" s="31">
        <v>10</v>
      </c>
      <c r="I22" s="31">
        <v>9.92</v>
      </c>
      <c r="J22" s="32" t="s">
        <v>269</v>
      </c>
      <c r="K22" s="30" t="str">
        <f t="shared" ref="K22:K33" si="3">IF(G22="Fail","Fail",IF(ABS(I22-H22)/IF(H22=0,1,H22)&lt;=0.1,"Pass","Fail"))</f>
        <v>Pass</v>
      </c>
      <c r="L22" s="32" t="s">
        <v>270</v>
      </c>
      <c r="M22" s="31" t="s">
        <v>52</v>
      </c>
      <c r="N22" s="33" t="str">
        <f t="shared" ref="N22:N33" si="4">IF(AND(G22="Pass",K22="Pass",M22="Pass"),"PASS","FAIL")</f>
        <v>PASS</v>
      </c>
      <c r="O22" s="34" t="str">
        <f t="shared" ref="O22:O33" si="5">IF(N22="PASS","Release to practicum","Quarantine — do not issue to students")</f>
        <v>Release to practicum</v>
      </c>
    </row>
    <row r="23" spans="1:15" ht="15" customHeight="1" x14ac:dyDescent="0.35">
      <c r="A23" s="35">
        <v>2</v>
      </c>
      <c r="B23" s="31" t="s">
        <v>271</v>
      </c>
      <c r="C23" s="32" t="s">
        <v>272</v>
      </c>
      <c r="D23" s="31" t="s">
        <v>322</v>
      </c>
      <c r="E23" s="31" t="s">
        <v>105</v>
      </c>
      <c r="F23" s="31">
        <v>19</v>
      </c>
      <c r="G23" s="31" t="s">
        <v>52</v>
      </c>
      <c r="H23" s="31">
        <v>0.5</v>
      </c>
      <c r="I23" s="31">
        <v>0.49</v>
      </c>
      <c r="J23" s="32" t="s">
        <v>274</v>
      </c>
      <c r="K23" s="30" t="str">
        <f t="shared" si="3"/>
        <v>Pass</v>
      </c>
      <c r="L23" s="32" t="s">
        <v>275</v>
      </c>
      <c r="M23" s="31" t="s">
        <v>52</v>
      </c>
      <c r="N23" s="33" t="str">
        <f t="shared" si="4"/>
        <v>PASS</v>
      </c>
      <c r="O23" s="34" t="str">
        <f t="shared" si="5"/>
        <v>Release to practicum</v>
      </c>
    </row>
    <row r="24" spans="1:15" ht="15" customHeight="1" x14ac:dyDescent="0.35">
      <c r="A24" s="30">
        <v>3</v>
      </c>
      <c r="B24" s="31" t="s">
        <v>276</v>
      </c>
      <c r="C24" s="32" t="s">
        <v>277</v>
      </c>
      <c r="D24" s="31" t="s">
        <v>323</v>
      </c>
      <c r="E24" s="31" t="s">
        <v>105</v>
      </c>
      <c r="F24" s="31">
        <v>22</v>
      </c>
      <c r="G24" s="31" t="s">
        <v>52</v>
      </c>
      <c r="H24" s="31">
        <v>1</v>
      </c>
      <c r="I24" s="31">
        <v>1.06</v>
      </c>
      <c r="J24" s="32" t="s">
        <v>274</v>
      </c>
      <c r="K24" s="30" t="str">
        <f t="shared" si="3"/>
        <v>Pass</v>
      </c>
      <c r="L24" s="32" t="s">
        <v>279</v>
      </c>
      <c r="M24" s="31" t="s">
        <v>52</v>
      </c>
      <c r="N24" s="33" t="str">
        <f t="shared" si="4"/>
        <v>PASS</v>
      </c>
      <c r="O24" s="34" t="str">
        <f t="shared" si="5"/>
        <v>Release to practicum</v>
      </c>
    </row>
    <row r="25" spans="1:15" ht="15" customHeight="1" x14ac:dyDescent="0.35">
      <c r="A25" s="35">
        <v>4</v>
      </c>
      <c r="B25" s="31" t="s">
        <v>280</v>
      </c>
      <c r="C25" s="32" t="s">
        <v>281</v>
      </c>
      <c r="D25" s="31" t="s">
        <v>324</v>
      </c>
      <c r="E25" s="31" t="s">
        <v>105</v>
      </c>
      <c r="F25" s="31">
        <v>20</v>
      </c>
      <c r="G25" s="31" t="s">
        <v>52</v>
      </c>
      <c r="H25" s="31">
        <v>10</v>
      </c>
      <c r="I25" s="31">
        <v>10.93</v>
      </c>
      <c r="J25" s="32" t="s">
        <v>283</v>
      </c>
      <c r="K25" s="30" t="str">
        <f t="shared" si="3"/>
        <v>Pass</v>
      </c>
      <c r="L25" s="32" t="s">
        <v>284</v>
      </c>
      <c r="M25" s="31" t="s">
        <v>52</v>
      </c>
      <c r="N25" s="33" t="str">
        <f t="shared" si="4"/>
        <v>PASS</v>
      </c>
      <c r="O25" s="34" t="str">
        <f t="shared" si="5"/>
        <v>Release to practicum</v>
      </c>
    </row>
    <row r="26" spans="1:15" ht="15" customHeight="1" x14ac:dyDescent="0.35">
      <c r="A26" s="30">
        <v>5</v>
      </c>
      <c r="B26" s="31" t="s">
        <v>285</v>
      </c>
      <c r="C26" s="32" t="s">
        <v>286</v>
      </c>
      <c r="D26" s="31" t="s">
        <v>325</v>
      </c>
      <c r="E26" s="31" t="s">
        <v>110</v>
      </c>
      <c r="F26" s="31">
        <v>20</v>
      </c>
      <c r="G26" s="31" t="s">
        <v>52</v>
      </c>
      <c r="H26" s="31">
        <v>5</v>
      </c>
      <c r="I26" s="31">
        <v>4.6399999999999997</v>
      </c>
      <c r="J26" s="32" t="s">
        <v>288</v>
      </c>
      <c r="K26" s="30" t="str">
        <f t="shared" si="3"/>
        <v>Pass</v>
      </c>
      <c r="L26" s="32" t="s">
        <v>289</v>
      </c>
      <c r="M26" s="31" t="s">
        <v>52</v>
      </c>
      <c r="N26" s="33" t="str">
        <f t="shared" si="4"/>
        <v>PASS</v>
      </c>
      <c r="O26" s="34" t="str">
        <f t="shared" si="5"/>
        <v>Release to practicum</v>
      </c>
    </row>
    <row r="27" spans="1:15" ht="15" customHeight="1" x14ac:dyDescent="0.35">
      <c r="A27" s="35">
        <v>6</v>
      </c>
      <c r="B27" s="31" t="s">
        <v>290</v>
      </c>
      <c r="C27" s="32" t="s">
        <v>291</v>
      </c>
      <c r="D27" s="31" t="s">
        <v>326</v>
      </c>
      <c r="E27" s="31" t="s">
        <v>110</v>
      </c>
      <c r="F27" s="31">
        <v>24</v>
      </c>
      <c r="G27" s="31" t="s">
        <v>52</v>
      </c>
      <c r="H27" s="31">
        <v>400</v>
      </c>
      <c r="I27" s="31">
        <v>439.53</v>
      </c>
      <c r="J27" s="32" t="s">
        <v>293</v>
      </c>
      <c r="K27" s="30" t="str">
        <f t="shared" si="3"/>
        <v>Pass</v>
      </c>
      <c r="L27" s="32" t="s">
        <v>294</v>
      </c>
      <c r="M27" s="31" t="s">
        <v>52</v>
      </c>
      <c r="N27" s="33" t="str">
        <f t="shared" si="4"/>
        <v>PASS</v>
      </c>
      <c r="O27" s="34" t="str">
        <f t="shared" si="5"/>
        <v>Release to practicum</v>
      </c>
    </row>
    <row r="28" spans="1:15" ht="15" customHeight="1" x14ac:dyDescent="0.35">
      <c r="A28" s="30">
        <v>7</v>
      </c>
      <c r="B28" s="31" t="s">
        <v>295</v>
      </c>
      <c r="C28" s="32" t="s">
        <v>296</v>
      </c>
      <c r="D28" s="31" t="s">
        <v>327</v>
      </c>
      <c r="E28" s="31" t="s">
        <v>110</v>
      </c>
      <c r="F28" s="31">
        <v>19</v>
      </c>
      <c r="G28" s="31" t="s">
        <v>52</v>
      </c>
      <c r="H28" s="31">
        <v>3.3</v>
      </c>
      <c r="I28" s="31">
        <v>3.03</v>
      </c>
      <c r="J28" s="32" t="s">
        <v>298</v>
      </c>
      <c r="K28" s="30" t="str">
        <f t="shared" si="3"/>
        <v>Pass</v>
      </c>
      <c r="L28" s="32" t="s">
        <v>299</v>
      </c>
      <c r="M28" s="31" t="s">
        <v>52</v>
      </c>
      <c r="N28" s="33" t="str">
        <f t="shared" si="4"/>
        <v>PASS</v>
      </c>
      <c r="O28" s="34" t="str">
        <f t="shared" si="5"/>
        <v>Release to practicum</v>
      </c>
    </row>
    <row r="29" spans="1:15" ht="15" customHeight="1" x14ac:dyDescent="0.35">
      <c r="A29" s="35">
        <v>8</v>
      </c>
      <c r="B29" s="31" t="s">
        <v>300</v>
      </c>
      <c r="C29" s="32" t="s">
        <v>301</v>
      </c>
      <c r="D29" s="31" t="s">
        <v>328</v>
      </c>
      <c r="E29" s="31" t="s">
        <v>110</v>
      </c>
      <c r="F29" s="31">
        <v>19</v>
      </c>
      <c r="G29" s="31" t="s">
        <v>52</v>
      </c>
      <c r="H29" s="31">
        <v>3.3</v>
      </c>
      <c r="I29" s="31">
        <v>3.11</v>
      </c>
      <c r="J29" s="32" t="s">
        <v>279</v>
      </c>
      <c r="K29" s="30" t="str">
        <f t="shared" si="3"/>
        <v>Pass</v>
      </c>
      <c r="L29" s="32" t="s">
        <v>303</v>
      </c>
      <c r="M29" s="31" t="s">
        <v>52</v>
      </c>
      <c r="N29" s="33" t="str">
        <f t="shared" si="4"/>
        <v>PASS</v>
      </c>
      <c r="O29" s="34" t="str">
        <f t="shared" si="5"/>
        <v>Release to practicum</v>
      </c>
    </row>
    <row r="30" spans="1:15" ht="15" customHeight="1" x14ac:dyDescent="0.35">
      <c r="A30" s="30">
        <v>9</v>
      </c>
      <c r="B30" s="31" t="s">
        <v>304</v>
      </c>
      <c r="C30" s="32" t="s">
        <v>305</v>
      </c>
      <c r="D30" s="31" t="s">
        <v>329</v>
      </c>
      <c r="E30" s="31" t="s">
        <v>115</v>
      </c>
      <c r="F30" s="31">
        <v>21</v>
      </c>
      <c r="G30" s="31" t="s">
        <v>52</v>
      </c>
      <c r="H30" s="31">
        <v>20</v>
      </c>
      <c r="I30" s="31">
        <v>17.989999999999998</v>
      </c>
      <c r="J30" s="32" t="s">
        <v>307</v>
      </c>
      <c r="K30" s="30" t="str">
        <f t="shared" si="3"/>
        <v>Fail</v>
      </c>
      <c r="L30" s="32" t="s">
        <v>308</v>
      </c>
      <c r="M30" s="31" t="s">
        <v>52</v>
      </c>
      <c r="N30" s="33" t="str">
        <f t="shared" si="4"/>
        <v>FAIL</v>
      </c>
      <c r="O30" s="34" t="str">
        <f t="shared" si="5"/>
        <v>Quarantine — do not issue to students</v>
      </c>
    </row>
    <row r="31" spans="1:15" ht="15" customHeight="1" x14ac:dyDescent="0.35">
      <c r="A31" s="35">
        <v>10</v>
      </c>
      <c r="B31" s="31" t="s">
        <v>309</v>
      </c>
      <c r="C31" s="32" t="s">
        <v>310</v>
      </c>
      <c r="D31" s="31" t="s">
        <v>330</v>
      </c>
      <c r="E31" s="31" t="s">
        <v>115</v>
      </c>
      <c r="F31" s="31">
        <v>24</v>
      </c>
      <c r="G31" s="31" t="s">
        <v>52</v>
      </c>
      <c r="H31" s="31">
        <v>2.5</v>
      </c>
      <c r="I31" s="31">
        <v>2.68</v>
      </c>
      <c r="J31" s="32" t="s">
        <v>269</v>
      </c>
      <c r="K31" s="30" t="str">
        <f t="shared" si="3"/>
        <v>Pass</v>
      </c>
      <c r="L31" s="32" t="s">
        <v>312</v>
      </c>
      <c r="M31" s="31" t="s">
        <v>52</v>
      </c>
      <c r="N31" s="33" t="str">
        <f t="shared" si="4"/>
        <v>PASS</v>
      </c>
      <c r="O31" s="34" t="str">
        <f t="shared" si="5"/>
        <v>Release to practicum</v>
      </c>
    </row>
    <row r="32" spans="1:15" ht="15" customHeight="1" x14ac:dyDescent="0.35">
      <c r="A32" s="30">
        <v>11</v>
      </c>
      <c r="B32" s="31" t="s">
        <v>313</v>
      </c>
      <c r="C32" s="32" t="s">
        <v>314</v>
      </c>
      <c r="D32" s="31" t="s">
        <v>331</v>
      </c>
      <c r="E32" s="31" t="s">
        <v>115</v>
      </c>
      <c r="F32" s="31">
        <v>25</v>
      </c>
      <c r="G32" s="31" t="s">
        <v>52</v>
      </c>
      <c r="H32" s="31">
        <v>100</v>
      </c>
      <c r="I32" s="31">
        <v>101.54</v>
      </c>
      <c r="J32" s="32" t="s">
        <v>316</v>
      </c>
      <c r="K32" s="30" t="str">
        <f t="shared" si="3"/>
        <v>Pass</v>
      </c>
      <c r="L32" s="32" t="s">
        <v>215</v>
      </c>
      <c r="M32" s="31" t="s">
        <v>52</v>
      </c>
      <c r="N32" s="33" t="str">
        <f t="shared" si="4"/>
        <v>PASS</v>
      </c>
      <c r="O32" s="34" t="str">
        <f t="shared" si="5"/>
        <v>Release to practicum</v>
      </c>
    </row>
    <row r="33" spans="1:15" ht="15" customHeight="1" x14ac:dyDescent="0.35">
      <c r="A33" s="35">
        <v>12</v>
      </c>
      <c r="B33" s="31" t="s">
        <v>317</v>
      </c>
      <c r="C33" s="32" t="s">
        <v>318</v>
      </c>
      <c r="D33" s="31" t="s">
        <v>332</v>
      </c>
      <c r="E33" s="31" t="s">
        <v>115</v>
      </c>
      <c r="F33" s="31">
        <v>21</v>
      </c>
      <c r="G33" s="31" t="s">
        <v>52</v>
      </c>
      <c r="H33" s="31">
        <v>3.3</v>
      </c>
      <c r="I33" s="31">
        <v>3.36</v>
      </c>
      <c r="J33" s="32" t="s">
        <v>320</v>
      </c>
      <c r="K33" s="30" t="str">
        <f t="shared" si="3"/>
        <v>Pass</v>
      </c>
      <c r="L33" s="32" t="s">
        <v>279</v>
      </c>
      <c r="M33" s="31" t="s">
        <v>52</v>
      </c>
      <c r="N33" s="33" t="str">
        <f t="shared" si="4"/>
        <v>PASS</v>
      </c>
      <c r="O33" s="34" t="str">
        <f t="shared" si="5"/>
        <v>Release to practicum</v>
      </c>
    </row>
    <row r="35" spans="1:15" ht="15.75" customHeight="1" x14ac:dyDescent="0.35">
      <c r="A35" s="3" t="s">
        <v>119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ht="15" customHeight="1" x14ac:dyDescent="0.35">
      <c r="A36" s="30">
        <v>1</v>
      </c>
      <c r="B36" s="31" t="s">
        <v>266</v>
      </c>
      <c r="C36" s="32" t="s">
        <v>267</v>
      </c>
      <c r="D36" s="31" t="s">
        <v>333</v>
      </c>
      <c r="E36" s="31" t="s">
        <v>121</v>
      </c>
      <c r="F36" s="31">
        <v>24</v>
      </c>
      <c r="G36" s="31" t="s">
        <v>52</v>
      </c>
      <c r="H36" s="31">
        <v>10</v>
      </c>
      <c r="I36" s="31">
        <v>9.33</v>
      </c>
      <c r="J36" s="32" t="s">
        <v>269</v>
      </c>
      <c r="K36" s="30" t="str">
        <f t="shared" ref="K36:K47" si="6">IF(G36="Fail","Fail",IF(ABS(I36-H36)/IF(H36=0,1,H36)&lt;=0.1,"Pass","Fail"))</f>
        <v>Pass</v>
      </c>
      <c r="L36" s="32" t="s">
        <v>270</v>
      </c>
      <c r="M36" s="31" t="s">
        <v>52</v>
      </c>
      <c r="N36" s="33" t="str">
        <f t="shared" ref="N36:N47" si="7">IF(AND(G36="Pass",K36="Pass",M36="Pass"),"PASS","FAIL")</f>
        <v>PASS</v>
      </c>
      <c r="O36" s="34" t="str">
        <f t="shared" ref="O36:O47" si="8">IF(N36="PASS","Release to practicum","Quarantine — do not issue to students")</f>
        <v>Release to practicum</v>
      </c>
    </row>
    <row r="37" spans="1:15" ht="15" customHeight="1" x14ac:dyDescent="0.35">
      <c r="A37" s="35">
        <v>2</v>
      </c>
      <c r="B37" s="31" t="s">
        <v>271</v>
      </c>
      <c r="C37" s="32" t="s">
        <v>272</v>
      </c>
      <c r="D37" s="31" t="s">
        <v>334</v>
      </c>
      <c r="E37" s="31" t="s">
        <v>121</v>
      </c>
      <c r="F37" s="31">
        <v>22</v>
      </c>
      <c r="G37" s="31" t="s">
        <v>52</v>
      </c>
      <c r="H37" s="31">
        <v>0.5</v>
      </c>
      <c r="I37" s="31">
        <v>0.53</v>
      </c>
      <c r="J37" s="32" t="s">
        <v>274</v>
      </c>
      <c r="K37" s="30" t="str">
        <f t="shared" si="6"/>
        <v>Pass</v>
      </c>
      <c r="L37" s="32" t="s">
        <v>275</v>
      </c>
      <c r="M37" s="31" t="s">
        <v>52</v>
      </c>
      <c r="N37" s="33" t="str">
        <f t="shared" si="7"/>
        <v>PASS</v>
      </c>
      <c r="O37" s="34" t="str">
        <f t="shared" si="8"/>
        <v>Release to practicum</v>
      </c>
    </row>
    <row r="38" spans="1:15" ht="15" customHeight="1" x14ac:dyDescent="0.35">
      <c r="A38" s="30">
        <v>3</v>
      </c>
      <c r="B38" s="31" t="s">
        <v>276</v>
      </c>
      <c r="C38" s="32" t="s">
        <v>277</v>
      </c>
      <c r="D38" s="31" t="s">
        <v>335</v>
      </c>
      <c r="E38" s="31" t="s">
        <v>121</v>
      </c>
      <c r="F38" s="31">
        <v>22</v>
      </c>
      <c r="G38" s="31" t="s">
        <v>52</v>
      </c>
      <c r="H38" s="31">
        <v>1</v>
      </c>
      <c r="I38" s="31">
        <v>1.05</v>
      </c>
      <c r="J38" s="32" t="s">
        <v>274</v>
      </c>
      <c r="K38" s="30" t="str">
        <f t="shared" si="6"/>
        <v>Pass</v>
      </c>
      <c r="L38" s="32" t="s">
        <v>279</v>
      </c>
      <c r="M38" s="31" t="s">
        <v>52</v>
      </c>
      <c r="N38" s="33" t="str">
        <f t="shared" si="7"/>
        <v>PASS</v>
      </c>
      <c r="O38" s="34" t="str">
        <f t="shared" si="8"/>
        <v>Release to practicum</v>
      </c>
    </row>
    <row r="39" spans="1:15" ht="15" customHeight="1" x14ac:dyDescent="0.35">
      <c r="A39" s="35">
        <v>4</v>
      </c>
      <c r="B39" s="31" t="s">
        <v>280</v>
      </c>
      <c r="C39" s="32" t="s">
        <v>281</v>
      </c>
      <c r="D39" s="31" t="s">
        <v>336</v>
      </c>
      <c r="E39" s="31" t="s">
        <v>121</v>
      </c>
      <c r="F39" s="31">
        <v>25</v>
      </c>
      <c r="G39" s="31" t="s">
        <v>52</v>
      </c>
      <c r="H39" s="31">
        <v>10</v>
      </c>
      <c r="I39" s="31">
        <v>10.35</v>
      </c>
      <c r="J39" s="32" t="s">
        <v>283</v>
      </c>
      <c r="K39" s="30" t="str">
        <f t="shared" si="6"/>
        <v>Pass</v>
      </c>
      <c r="L39" s="32" t="s">
        <v>284</v>
      </c>
      <c r="M39" s="31" t="s">
        <v>52</v>
      </c>
      <c r="N39" s="33" t="str">
        <f t="shared" si="7"/>
        <v>PASS</v>
      </c>
      <c r="O39" s="34" t="str">
        <f t="shared" si="8"/>
        <v>Release to practicum</v>
      </c>
    </row>
    <row r="40" spans="1:15" ht="15" customHeight="1" x14ac:dyDescent="0.35">
      <c r="A40" s="30">
        <v>5</v>
      </c>
      <c r="B40" s="31" t="s">
        <v>285</v>
      </c>
      <c r="C40" s="32" t="s">
        <v>286</v>
      </c>
      <c r="D40" s="31" t="s">
        <v>337</v>
      </c>
      <c r="E40" s="31" t="s">
        <v>126</v>
      </c>
      <c r="F40" s="31">
        <v>22</v>
      </c>
      <c r="G40" s="31" t="s">
        <v>52</v>
      </c>
      <c r="H40" s="31">
        <v>5</v>
      </c>
      <c r="I40" s="31">
        <v>5.24</v>
      </c>
      <c r="J40" s="32" t="s">
        <v>288</v>
      </c>
      <c r="K40" s="30" t="str">
        <f t="shared" si="6"/>
        <v>Pass</v>
      </c>
      <c r="L40" s="32" t="s">
        <v>289</v>
      </c>
      <c r="M40" s="31" t="s">
        <v>52</v>
      </c>
      <c r="N40" s="33" t="str">
        <f t="shared" si="7"/>
        <v>PASS</v>
      </c>
      <c r="O40" s="34" t="str">
        <f t="shared" si="8"/>
        <v>Release to practicum</v>
      </c>
    </row>
    <row r="41" spans="1:15" ht="15" customHeight="1" x14ac:dyDescent="0.35">
      <c r="A41" s="35">
        <v>6</v>
      </c>
      <c r="B41" s="31" t="s">
        <v>290</v>
      </c>
      <c r="C41" s="32" t="s">
        <v>291</v>
      </c>
      <c r="D41" s="31" t="s">
        <v>338</v>
      </c>
      <c r="E41" s="31" t="s">
        <v>126</v>
      </c>
      <c r="F41" s="31">
        <v>25</v>
      </c>
      <c r="G41" s="31" t="s">
        <v>52</v>
      </c>
      <c r="H41" s="31">
        <v>400</v>
      </c>
      <c r="I41" s="31">
        <v>444.43</v>
      </c>
      <c r="J41" s="32" t="s">
        <v>293</v>
      </c>
      <c r="K41" s="30" t="str">
        <f t="shared" si="6"/>
        <v>Fail</v>
      </c>
      <c r="L41" s="32" t="s">
        <v>294</v>
      </c>
      <c r="M41" s="31" t="s">
        <v>52</v>
      </c>
      <c r="N41" s="33" t="str">
        <f t="shared" si="7"/>
        <v>FAIL</v>
      </c>
      <c r="O41" s="34" t="str">
        <f t="shared" si="8"/>
        <v>Quarantine — do not issue to students</v>
      </c>
    </row>
    <row r="42" spans="1:15" ht="15" customHeight="1" x14ac:dyDescent="0.35">
      <c r="A42" s="30">
        <v>7</v>
      </c>
      <c r="B42" s="31" t="s">
        <v>295</v>
      </c>
      <c r="C42" s="32" t="s">
        <v>296</v>
      </c>
      <c r="D42" s="31" t="s">
        <v>339</v>
      </c>
      <c r="E42" s="31" t="s">
        <v>126</v>
      </c>
      <c r="F42" s="31">
        <v>19</v>
      </c>
      <c r="G42" s="31" t="s">
        <v>52</v>
      </c>
      <c r="H42" s="31">
        <v>3.3</v>
      </c>
      <c r="I42" s="31">
        <v>3.25</v>
      </c>
      <c r="J42" s="32" t="s">
        <v>298</v>
      </c>
      <c r="K42" s="30" t="str">
        <f t="shared" si="6"/>
        <v>Pass</v>
      </c>
      <c r="L42" s="32" t="s">
        <v>299</v>
      </c>
      <c r="M42" s="31" t="s">
        <v>52</v>
      </c>
      <c r="N42" s="33" t="str">
        <f t="shared" si="7"/>
        <v>PASS</v>
      </c>
      <c r="O42" s="34" t="str">
        <f t="shared" si="8"/>
        <v>Release to practicum</v>
      </c>
    </row>
    <row r="43" spans="1:15" ht="15" customHeight="1" x14ac:dyDescent="0.35">
      <c r="A43" s="35">
        <v>8</v>
      </c>
      <c r="B43" s="31" t="s">
        <v>300</v>
      </c>
      <c r="C43" s="32" t="s">
        <v>301</v>
      </c>
      <c r="D43" s="31" t="s">
        <v>340</v>
      </c>
      <c r="E43" s="31" t="s">
        <v>126</v>
      </c>
      <c r="F43" s="31">
        <v>23</v>
      </c>
      <c r="G43" s="31" t="s">
        <v>52</v>
      </c>
      <c r="H43" s="31">
        <v>3.3</v>
      </c>
      <c r="I43" s="31">
        <v>3.35</v>
      </c>
      <c r="J43" s="32" t="s">
        <v>279</v>
      </c>
      <c r="K43" s="30" t="str">
        <f t="shared" si="6"/>
        <v>Pass</v>
      </c>
      <c r="L43" s="32" t="s">
        <v>303</v>
      </c>
      <c r="M43" s="31" t="s">
        <v>52</v>
      </c>
      <c r="N43" s="33" t="str">
        <f t="shared" si="7"/>
        <v>PASS</v>
      </c>
      <c r="O43" s="34" t="str">
        <f t="shared" si="8"/>
        <v>Release to practicum</v>
      </c>
    </row>
    <row r="44" spans="1:15" ht="15" customHeight="1" x14ac:dyDescent="0.35">
      <c r="A44" s="30">
        <v>9</v>
      </c>
      <c r="B44" s="31" t="s">
        <v>304</v>
      </c>
      <c r="C44" s="32" t="s">
        <v>305</v>
      </c>
      <c r="D44" s="31" t="s">
        <v>341</v>
      </c>
      <c r="E44" s="31" t="s">
        <v>131</v>
      </c>
      <c r="F44" s="31">
        <v>18</v>
      </c>
      <c r="G44" s="31" t="s">
        <v>52</v>
      </c>
      <c r="H44" s="31">
        <v>20</v>
      </c>
      <c r="I44" s="31">
        <v>18.510000000000002</v>
      </c>
      <c r="J44" s="32" t="s">
        <v>307</v>
      </c>
      <c r="K44" s="30" t="str">
        <f t="shared" si="6"/>
        <v>Pass</v>
      </c>
      <c r="L44" s="32" t="s">
        <v>308</v>
      </c>
      <c r="M44" s="31" t="s">
        <v>52</v>
      </c>
      <c r="N44" s="33" t="str">
        <f t="shared" si="7"/>
        <v>PASS</v>
      </c>
      <c r="O44" s="34" t="str">
        <f t="shared" si="8"/>
        <v>Release to practicum</v>
      </c>
    </row>
    <row r="45" spans="1:15" ht="15" customHeight="1" x14ac:dyDescent="0.35">
      <c r="A45" s="35">
        <v>10</v>
      </c>
      <c r="B45" s="31" t="s">
        <v>309</v>
      </c>
      <c r="C45" s="32" t="s">
        <v>310</v>
      </c>
      <c r="D45" s="31" t="s">
        <v>342</v>
      </c>
      <c r="E45" s="31" t="s">
        <v>131</v>
      </c>
      <c r="F45" s="31">
        <v>20</v>
      </c>
      <c r="G45" s="31" t="s">
        <v>52</v>
      </c>
      <c r="H45" s="31">
        <v>2.5</v>
      </c>
      <c r="I45" s="31">
        <v>2.6</v>
      </c>
      <c r="J45" s="32" t="s">
        <v>269</v>
      </c>
      <c r="K45" s="30" t="str">
        <f t="shared" si="6"/>
        <v>Pass</v>
      </c>
      <c r="L45" s="32" t="s">
        <v>312</v>
      </c>
      <c r="M45" s="31" t="s">
        <v>52</v>
      </c>
      <c r="N45" s="33" t="str">
        <f t="shared" si="7"/>
        <v>PASS</v>
      </c>
      <c r="O45" s="34" t="str">
        <f t="shared" si="8"/>
        <v>Release to practicum</v>
      </c>
    </row>
    <row r="46" spans="1:15" ht="15" customHeight="1" x14ac:dyDescent="0.35">
      <c r="A46" s="30">
        <v>11</v>
      </c>
      <c r="B46" s="31" t="s">
        <v>313</v>
      </c>
      <c r="C46" s="32" t="s">
        <v>314</v>
      </c>
      <c r="D46" s="31" t="s">
        <v>343</v>
      </c>
      <c r="E46" s="31" t="s">
        <v>131</v>
      </c>
      <c r="F46" s="31">
        <v>23</v>
      </c>
      <c r="G46" s="31" t="s">
        <v>52</v>
      </c>
      <c r="H46" s="31">
        <v>100</v>
      </c>
      <c r="I46" s="31">
        <v>97.57</v>
      </c>
      <c r="J46" s="32" t="s">
        <v>316</v>
      </c>
      <c r="K46" s="30" t="str">
        <f t="shared" si="6"/>
        <v>Pass</v>
      </c>
      <c r="L46" s="32" t="s">
        <v>215</v>
      </c>
      <c r="M46" s="31" t="s">
        <v>52</v>
      </c>
      <c r="N46" s="33" t="str">
        <f t="shared" si="7"/>
        <v>PASS</v>
      </c>
      <c r="O46" s="34" t="str">
        <f t="shared" si="8"/>
        <v>Release to practicum</v>
      </c>
    </row>
    <row r="47" spans="1:15" ht="15" customHeight="1" x14ac:dyDescent="0.35">
      <c r="A47" s="35">
        <v>12</v>
      </c>
      <c r="B47" s="31" t="s">
        <v>317</v>
      </c>
      <c r="C47" s="32" t="s">
        <v>318</v>
      </c>
      <c r="D47" s="31" t="s">
        <v>344</v>
      </c>
      <c r="E47" s="31" t="s">
        <v>131</v>
      </c>
      <c r="F47" s="31">
        <v>23</v>
      </c>
      <c r="G47" s="31" t="s">
        <v>52</v>
      </c>
      <c r="H47" s="31">
        <v>3.3</v>
      </c>
      <c r="I47" s="31">
        <v>3.48</v>
      </c>
      <c r="J47" s="32" t="s">
        <v>320</v>
      </c>
      <c r="K47" s="30" t="str">
        <f t="shared" si="6"/>
        <v>Pass</v>
      </c>
      <c r="L47" s="32" t="s">
        <v>279</v>
      </c>
      <c r="M47" s="31" t="s">
        <v>52</v>
      </c>
      <c r="N47" s="33" t="str">
        <f t="shared" si="7"/>
        <v>PASS</v>
      </c>
      <c r="O47" s="34" t="str">
        <f t="shared" si="8"/>
        <v>Release to practicum</v>
      </c>
    </row>
    <row r="49" spans="1:15" ht="15.75" customHeight="1" x14ac:dyDescent="0.35">
      <c r="A49" s="3" t="s">
        <v>135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5" customHeight="1" x14ac:dyDescent="0.35">
      <c r="A50" s="30">
        <v>1</v>
      </c>
      <c r="B50" s="31" t="s">
        <v>266</v>
      </c>
      <c r="C50" s="32" t="s">
        <v>267</v>
      </c>
      <c r="D50" s="31" t="s">
        <v>345</v>
      </c>
      <c r="E50" s="31" t="s">
        <v>137</v>
      </c>
      <c r="F50" s="31">
        <v>25</v>
      </c>
      <c r="G50" s="31" t="s">
        <v>52</v>
      </c>
      <c r="H50" s="31">
        <v>10</v>
      </c>
      <c r="I50" s="31">
        <v>9.86</v>
      </c>
      <c r="J50" s="32" t="s">
        <v>269</v>
      </c>
      <c r="K50" s="30" t="str">
        <f t="shared" ref="K50:K61" si="9">IF(G50="Fail","Fail",IF(ABS(I50-H50)/IF(H50=0,1,H50)&lt;=0.1,"Pass","Fail"))</f>
        <v>Pass</v>
      </c>
      <c r="L50" s="32" t="s">
        <v>270</v>
      </c>
      <c r="M50" s="31" t="s">
        <v>52</v>
      </c>
      <c r="N50" s="33" t="str">
        <f t="shared" ref="N50:N61" si="10">IF(AND(G50="Pass",K50="Pass",M50="Pass"),"PASS","FAIL")</f>
        <v>PASS</v>
      </c>
      <c r="O50" s="34" t="str">
        <f t="shared" ref="O50:O61" si="11">IF(N50="PASS","Release to practicum","Quarantine — do not issue to students")</f>
        <v>Release to practicum</v>
      </c>
    </row>
    <row r="51" spans="1:15" ht="15" customHeight="1" x14ac:dyDescent="0.35">
      <c r="A51" s="35">
        <v>2</v>
      </c>
      <c r="B51" s="31" t="s">
        <v>271</v>
      </c>
      <c r="C51" s="32" t="s">
        <v>272</v>
      </c>
      <c r="D51" s="31" t="s">
        <v>346</v>
      </c>
      <c r="E51" s="31" t="s">
        <v>137</v>
      </c>
      <c r="F51" s="31">
        <v>22</v>
      </c>
      <c r="G51" s="31" t="s">
        <v>52</v>
      </c>
      <c r="H51" s="31">
        <v>0.5</v>
      </c>
      <c r="I51" s="31">
        <v>0.53</v>
      </c>
      <c r="J51" s="32" t="s">
        <v>274</v>
      </c>
      <c r="K51" s="30" t="str">
        <f t="shared" si="9"/>
        <v>Pass</v>
      </c>
      <c r="L51" s="32" t="s">
        <v>275</v>
      </c>
      <c r="M51" s="31" t="s">
        <v>75</v>
      </c>
      <c r="N51" s="33" t="str">
        <f t="shared" si="10"/>
        <v>FAIL</v>
      </c>
      <c r="O51" s="34" t="str">
        <f t="shared" si="11"/>
        <v>Quarantine — do not issue to students</v>
      </c>
    </row>
    <row r="52" spans="1:15" ht="15" customHeight="1" x14ac:dyDescent="0.35">
      <c r="A52" s="30">
        <v>3</v>
      </c>
      <c r="B52" s="31" t="s">
        <v>276</v>
      </c>
      <c r="C52" s="32" t="s">
        <v>277</v>
      </c>
      <c r="D52" s="31" t="s">
        <v>347</v>
      </c>
      <c r="E52" s="31" t="s">
        <v>137</v>
      </c>
      <c r="F52" s="31">
        <v>19</v>
      </c>
      <c r="G52" s="31" t="s">
        <v>52</v>
      </c>
      <c r="H52" s="31">
        <v>1</v>
      </c>
      <c r="I52" s="31">
        <v>1.08</v>
      </c>
      <c r="J52" s="32" t="s">
        <v>274</v>
      </c>
      <c r="K52" s="30" t="str">
        <f t="shared" si="9"/>
        <v>Pass</v>
      </c>
      <c r="L52" s="32" t="s">
        <v>279</v>
      </c>
      <c r="M52" s="31" t="s">
        <v>52</v>
      </c>
      <c r="N52" s="33" t="str">
        <f t="shared" si="10"/>
        <v>PASS</v>
      </c>
      <c r="O52" s="34" t="str">
        <f t="shared" si="11"/>
        <v>Release to practicum</v>
      </c>
    </row>
    <row r="53" spans="1:15" ht="15" customHeight="1" x14ac:dyDescent="0.35">
      <c r="A53" s="35">
        <v>4</v>
      </c>
      <c r="B53" s="31" t="s">
        <v>280</v>
      </c>
      <c r="C53" s="32" t="s">
        <v>281</v>
      </c>
      <c r="D53" s="31" t="s">
        <v>348</v>
      </c>
      <c r="E53" s="31" t="s">
        <v>137</v>
      </c>
      <c r="F53" s="31">
        <v>20</v>
      </c>
      <c r="G53" s="31" t="s">
        <v>52</v>
      </c>
      <c r="H53" s="31">
        <v>10</v>
      </c>
      <c r="I53" s="31">
        <v>9.3000000000000007</v>
      </c>
      <c r="J53" s="32" t="s">
        <v>283</v>
      </c>
      <c r="K53" s="30" t="str">
        <f t="shared" si="9"/>
        <v>Pass</v>
      </c>
      <c r="L53" s="32" t="s">
        <v>284</v>
      </c>
      <c r="M53" s="31" t="s">
        <v>52</v>
      </c>
      <c r="N53" s="33" t="str">
        <f t="shared" si="10"/>
        <v>PASS</v>
      </c>
      <c r="O53" s="34" t="str">
        <f t="shared" si="11"/>
        <v>Release to practicum</v>
      </c>
    </row>
    <row r="54" spans="1:15" ht="15" customHeight="1" x14ac:dyDescent="0.35">
      <c r="A54" s="30">
        <v>5</v>
      </c>
      <c r="B54" s="31" t="s">
        <v>285</v>
      </c>
      <c r="C54" s="32" t="s">
        <v>286</v>
      </c>
      <c r="D54" s="31" t="s">
        <v>349</v>
      </c>
      <c r="E54" s="31" t="s">
        <v>142</v>
      </c>
      <c r="F54" s="31">
        <v>21</v>
      </c>
      <c r="G54" s="31" t="s">
        <v>52</v>
      </c>
      <c r="H54" s="31">
        <v>5</v>
      </c>
      <c r="I54" s="31">
        <v>4.8099999999999996</v>
      </c>
      <c r="J54" s="32" t="s">
        <v>288</v>
      </c>
      <c r="K54" s="30" t="str">
        <f t="shared" si="9"/>
        <v>Pass</v>
      </c>
      <c r="L54" s="32" t="s">
        <v>289</v>
      </c>
      <c r="M54" s="31" t="s">
        <v>52</v>
      </c>
      <c r="N54" s="33" t="str">
        <f t="shared" si="10"/>
        <v>PASS</v>
      </c>
      <c r="O54" s="34" t="str">
        <f t="shared" si="11"/>
        <v>Release to practicum</v>
      </c>
    </row>
    <row r="55" spans="1:15" ht="15" customHeight="1" x14ac:dyDescent="0.35">
      <c r="A55" s="35">
        <v>6</v>
      </c>
      <c r="B55" s="31" t="s">
        <v>290</v>
      </c>
      <c r="C55" s="32" t="s">
        <v>291</v>
      </c>
      <c r="D55" s="31" t="s">
        <v>350</v>
      </c>
      <c r="E55" s="31" t="s">
        <v>142</v>
      </c>
      <c r="F55" s="31">
        <v>21</v>
      </c>
      <c r="G55" s="31" t="s">
        <v>52</v>
      </c>
      <c r="H55" s="31">
        <v>400</v>
      </c>
      <c r="I55" s="31">
        <v>409.19</v>
      </c>
      <c r="J55" s="32" t="s">
        <v>293</v>
      </c>
      <c r="K55" s="30" t="str">
        <f t="shared" si="9"/>
        <v>Pass</v>
      </c>
      <c r="L55" s="32" t="s">
        <v>294</v>
      </c>
      <c r="M55" s="31" t="s">
        <v>52</v>
      </c>
      <c r="N55" s="33" t="str">
        <f t="shared" si="10"/>
        <v>PASS</v>
      </c>
      <c r="O55" s="34" t="str">
        <f t="shared" si="11"/>
        <v>Release to practicum</v>
      </c>
    </row>
    <row r="56" spans="1:15" ht="15" customHeight="1" x14ac:dyDescent="0.35">
      <c r="A56" s="30">
        <v>7</v>
      </c>
      <c r="B56" s="31" t="s">
        <v>295</v>
      </c>
      <c r="C56" s="32" t="s">
        <v>296</v>
      </c>
      <c r="D56" s="31" t="s">
        <v>351</v>
      </c>
      <c r="E56" s="31" t="s">
        <v>142</v>
      </c>
      <c r="F56" s="31">
        <v>23</v>
      </c>
      <c r="G56" s="31" t="s">
        <v>52</v>
      </c>
      <c r="H56" s="31">
        <v>3.3</v>
      </c>
      <c r="I56" s="31">
        <v>3.15</v>
      </c>
      <c r="J56" s="32" t="s">
        <v>298</v>
      </c>
      <c r="K56" s="30" t="str">
        <f t="shared" si="9"/>
        <v>Pass</v>
      </c>
      <c r="L56" s="32" t="s">
        <v>299</v>
      </c>
      <c r="M56" s="31" t="s">
        <v>52</v>
      </c>
      <c r="N56" s="33" t="str">
        <f t="shared" si="10"/>
        <v>PASS</v>
      </c>
      <c r="O56" s="34" t="str">
        <f t="shared" si="11"/>
        <v>Release to practicum</v>
      </c>
    </row>
    <row r="57" spans="1:15" ht="15" customHeight="1" x14ac:dyDescent="0.35">
      <c r="A57" s="35">
        <v>8</v>
      </c>
      <c r="B57" s="31" t="s">
        <v>300</v>
      </c>
      <c r="C57" s="32" t="s">
        <v>301</v>
      </c>
      <c r="D57" s="31" t="s">
        <v>352</v>
      </c>
      <c r="E57" s="31" t="s">
        <v>142</v>
      </c>
      <c r="F57" s="31">
        <v>25</v>
      </c>
      <c r="G57" s="31" t="s">
        <v>52</v>
      </c>
      <c r="H57" s="31">
        <v>3.3</v>
      </c>
      <c r="I57" s="31">
        <v>3.13</v>
      </c>
      <c r="J57" s="32" t="s">
        <v>279</v>
      </c>
      <c r="K57" s="30" t="str">
        <f t="shared" si="9"/>
        <v>Pass</v>
      </c>
      <c r="L57" s="32" t="s">
        <v>303</v>
      </c>
      <c r="M57" s="31" t="s">
        <v>75</v>
      </c>
      <c r="N57" s="33" t="str">
        <f t="shared" si="10"/>
        <v>FAIL</v>
      </c>
      <c r="O57" s="34" t="str">
        <f t="shared" si="11"/>
        <v>Quarantine — do not issue to students</v>
      </c>
    </row>
    <row r="58" spans="1:15" ht="15" customHeight="1" x14ac:dyDescent="0.35">
      <c r="A58" s="30">
        <v>9</v>
      </c>
      <c r="B58" s="31" t="s">
        <v>304</v>
      </c>
      <c r="C58" s="32" t="s">
        <v>305</v>
      </c>
      <c r="D58" s="31" t="s">
        <v>353</v>
      </c>
      <c r="E58" s="31" t="s">
        <v>147</v>
      </c>
      <c r="F58" s="31">
        <v>25</v>
      </c>
      <c r="G58" s="31" t="s">
        <v>52</v>
      </c>
      <c r="H58" s="31">
        <v>20</v>
      </c>
      <c r="I58" s="31">
        <v>22.19</v>
      </c>
      <c r="J58" s="32" t="s">
        <v>307</v>
      </c>
      <c r="K58" s="30" t="str">
        <f t="shared" si="9"/>
        <v>Fail</v>
      </c>
      <c r="L58" s="32" t="s">
        <v>308</v>
      </c>
      <c r="M58" s="31" t="s">
        <v>52</v>
      </c>
      <c r="N58" s="33" t="str">
        <f t="shared" si="10"/>
        <v>FAIL</v>
      </c>
      <c r="O58" s="34" t="str">
        <f t="shared" si="11"/>
        <v>Quarantine — do not issue to students</v>
      </c>
    </row>
    <row r="59" spans="1:15" ht="15" customHeight="1" x14ac:dyDescent="0.35">
      <c r="A59" s="35">
        <v>10</v>
      </c>
      <c r="B59" s="31" t="s">
        <v>309</v>
      </c>
      <c r="C59" s="32" t="s">
        <v>310</v>
      </c>
      <c r="D59" s="31" t="s">
        <v>354</v>
      </c>
      <c r="E59" s="31" t="s">
        <v>147</v>
      </c>
      <c r="F59" s="31">
        <v>20</v>
      </c>
      <c r="G59" s="31" t="s">
        <v>52</v>
      </c>
      <c r="H59" s="31">
        <v>2.5</v>
      </c>
      <c r="I59" s="31">
        <v>2.65</v>
      </c>
      <c r="J59" s="32" t="s">
        <v>269</v>
      </c>
      <c r="K59" s="30" t="str">
        <f t="shared" si="9"/>
        <v>Pass</v>
      </c>
      <c r="L59" s="32" t="s">
        <v>312</v>
      </c>
      <c r="M59" s="31" t="s">
        <v>52</v>
      </c>
      <c r="N59" s="33" t="str">
        <f t="shared" si="10"/>
        <v>PASS</v>
      </c>
      <c r="O59" s="34" t="str">
        <f t="shared" si="11"/>
        <v>Release to practicum</v>
      </c>
    </row>
    <row r="60" spans="1:15" ht="15" customHeight="1" x14ac:dyDescent="0.35">
      <c r="A60" s="30">
        <v>11</v>
      </c>
      <c r="B60" s="31" t="s">
        <v>313</v>
      </c>
      <c r="C60" s="32" t="s">
        <v>314</v>
      </c>
      <c r="D60" s="31" t="s">
        <v>355</v>
      </c>
      <c r="E60" s="31" t="s">
        <v>147</v>
      </c>
      <c r="F60" s="31">
        <v>21</v>
      </c>
      <c r="G60" s="31" t="s">
        <v>52</v>
      </c>
      <c r="H60" s="31">
        <v>100</v>
      </c>
      <c r="I60" s="31">
        <v>93.38</v>
      </c>
      <c r="J60" s="32" t="s">
        <v>316</v>
      </c>
      <c r="K60" s="30" t="str">
        <f t="shared" si="9"/>
        <v>Pass</v>
      </c>
      <c r="L60" s="32" t="s">
        <v>215</v>
      </c>
      <c r="M60" s="31" t="s">
        <v>52</v>
      </c>
      <c r="N60" s="33" t="str">
        <f t="shared" si="10"/>
        <v>PASS</v>
      </c>
      <c r="O60" s="34" t="str">
        <f t="shared" si="11"/>
        <v>Release to practicum</v>
      </c>
    </row>
    <row r="61" spans="1:15" ht="15" customHeight="1" x14ac:dyDescent="0.35">
      <c r="A61" s="35">
        <v>12</v>
      </c>
      <c r="B61" s="31" t="s">
        <v>317</v>
      </c>
      <c r="C61" s="32" t="s">
        <v>318</v>
      </c>
      <c r="D61" s="31" t="s">
        <v>356</v>
      </c>
      <c r="E61" s="31" t="s">
        <v>147</v>
      </c>
      <c r="F61" s="31">
        <v>24</v>
      </c>
      <c r="G61" s="31" t="s">
        <v>52</v>
      </c>
      <c r="H61" s="31">
        <v>3.3</v>
      </c>
      <c r="I61" s="31">
        <v>3.18</v>
      </c>
      <c r="J61" s="32" t="s">
        <v>320</v>
      </c>
      <c r="K61" s="30" t="str">
        <f t="shared" si="9"/>
        <v>Pass</v>
      </c>
      <c r="L61" s="32" t="s">
        <v>279</v>
      </c>
      <c r="M61" s="31" t="s">
        <v>52</v>
      </c>
      <c r="N61" s="33" t="str">
        <f t="shared" si="10"/>
        <v>PASS</v>
      </c>
      <c r="O61" s="34" t="str">
        <f t="shared" si="11"/>
        <v>Release to practicum</v>
      </c>
    </row>
    <row r="64" spans="1:15" ht="15" customHeight="1" x14ac:dyDescent="0.35">
      <c r="A64" s="59" t="s">
        <v>150</v>
      </c>
      <c r="B64" s="59"/>
      <c r="C64" s="59"/>
      <c r="D64" s="59"/>
      <c r="E64" s="59"/>
      <c r="F64" s="59"/>
    </row>
    <row r="65" spans="1:15" ht="15" customHeight="1" x14ac:dyDescent="0.35">
      <c r="A65" s="10" t="s">
        <v>151</v>
      </c>
      <c r="B65" s="10"/>
      <c r="C65" s="10"/>
      <c r="D65" s="10"/>
      <c r="E65" s="10"/>
      <c r="F65" s="10"/>
      <c r="G65" s="17" t="s">
        <v>152</v>
      </c>
      <c r="H65" s="17" t="s">
        <v>153</v>
      </c>
      <c r="I65" s="17" t="s">
        <v>154</v>
      </c>
      <c r="J65" s="17" t="s">
        <v>155</v>
      </c>
      <c r="K65" s="17" t="s">
        <v>156</v>
      </c>
    </row>
    <row r="66" spans="1:15" ht="15" customHeight="1" x14ac:dyDescent="0.35">
      <c r="H66" s="37">
        <f>COUNTA(B8:B61)</f>
        <v>48</v>
      </c>
      <c r="I66" s="37">
        <f>COUNTIF(N8:N61,"PASS")</f>
        <v>39</v>
      </c>
      <c r="J66" s="37">
        <f>COUNTIF(N8:N61,"FAIL")</f>
        <v>9</v>
      </c>
      <c r="K66" s="38">
        <f>IFERROR(I66/H66,0)</f>
        <v>0.8125</v>
      </c>
    </row>
    <row r="67" spans="1:15" ht="6" customHeight="1" x14ac:dyDescent="0.35"/>
    <row r="68" spans="1:15" ht="18" customHeight="1" x14ac:dyDescent="0.35">
      <c r="A68" s="64" t="s">
        <v>357</v>
      </c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</row>
    <row r="69" spans="1:15" ht="18" customHeight="1" x14ac:dyDescent="0.35">
      <c r="A69" s="27" t="s">
        <v>13</v>
      </c>
      <c r="B69" s="2" t="s">
        <v>14</v>
      </c>
      <c r="C69" s="2"/>
      <c r="D69" s="2"/>
      <c r="E69" s="2"/>
      <c r="F69" s="2"/>
      <c r="G69" s="2"/>
      <c r="H69" s="1"/>
      <c r="I69" s="1"/>
      <c r="J69" s="1"/>
      <c r="K69" s="1"/>
      <c r="L69" s="1"/>
      <c r="M69" s="1"/>
      <c r="N69" s="1"/>
      <c r="O69" s="1"/>
    </row>
    <row r="70" spans="1:15" ht="21.5" customHeight="1" x14ac:dyDescent="0.35">
      <c r="A70" s="28" t="s">
        <v>158</v>
      </c>
      <c r="B70" s="50" t="s">
        <v>159</v>
      </c>
      <c r="C70" s="50"/>
      <c r="D70" s="50"/>
      <c r="E70" s="50"/>
      <c r="F70" s="50"/>
      <c r="G70" s="50"/>
      <c r="H70" s="51" t="s">
        <v>160</v>
      </c>
      <c r="I70" s="51"/>
      <c r="J70" s="51"/>
      <c r="K70" s="51"/>
      <c r="L70" s="51"/>
      <c r="M70" s="51"/>
      <c r="N70" s="51"/>
      <c r="O70" s="51"/>
    </row>
    <row r="71" spans="1:15" ht="21.5" customHeight="1" x14ac:dyDescent="0.35">
      <c r="A71" s="29" t="s">
        <v>161</v>
      </c>
      <c r="B71" s="52" t="s">
        <v>162</v>
      </c>
      <c r="C71" s="52"/>
      <c r="D71" s="52"/>
      <c r="E71" s="52"/>
      <c r="F71" s="52"/>
      <c r="G71" s="52"/>
      <c r="H71" s="53" t="s">
        <v>163</v>
      </c>
      <c r="I71" s="53"/>
      <c r="J71" s="53"/>
      <c r="K71" s="53"/>
      <c r="L71" s="53"/>
      <c r="M71" s="53"/>
      <c r="N71" s="53"/>
      <c r="O71" s="53"/>
    </row>
    <row r="72" spans="1:15" ht="18" customHeight="1" x14ac:dyDescent="0.35">
      <c r="A72" s="28" t="s">
        <v>164</v>
      </c>
      <c r="B72" s="50" t="s">
        <v>165</v>
      </c>
      <c r="C72" s="50"/>
      <c r="D72" s="50"/>
      <c r="E72" s="50"/>
      <c r="F72" s="50"/>
      <c r="G72" s="50"/>
      <c r="H72" s="51" t="s">
        <v>166</v>
      </c>
      <c r="I72" s="51"/>
      <c r="J72" s="51"/>
      <c r="K72" s="51"/>
      <c r="L72" s="51"/>
      <c r="M72" s="51"/>
      <c r="N72" s="51"/>
      <c r="O72" s="51"/>
    </row>
    <row r="73" spans="1:15" ht="18" customHeight="1" x14ac:dyDescent="0.35">
      <c r="A73" s="29" t="s">
        <v>167</v>
      </c>
      <c r="B73" s="52" t="s">
        <v>168</v>
      </c>
      <c r="C73" s="52"/>
      <c r="D73" s="52"/>
      <c r="E73" s="52"/>
      <c r="F73" s="52"/>
      <c r="G73" s="52"/>
      <c r="H73" s="53" t="s">
        <v>169</v>
      </c>
      <c r="I73" s="53"/>
      <c r="J73" s="53"/>
      <c r="K73" s="53"/>
      <c r="L73" s="53"/>
      <c r="M73" s="53"/>
      <c r="N73" s="53"/>
      <c r="O73" s="53"/>
    </row>
    <row r="74" spans="1:15" ht="18" customHeight="1" x14ac:dyDescent="0.35">
      <c r="A74" s="28" t="s">
        <v>170</v>
      </c>
      <c r="B74" s="50" t="s">
        <v>171</v>
      </c>
      <c r="C74" s="50"/>
      <c r="D74" s="50"/>
      <c r="E74" s="50"/>
      <c r="F74" s="50"/>
      <c r="G74" s="50"/>
      <c r="H74" s="51" t="s">
        <v>172</v>
      </c>
      <c r="I74" s="51"/>
      <c r="J74" s="51"/>
      <c r="K74" s="51"/>
      <c r="L74" s="51"/>
      <c r="M74" s="51"/>
      <c r="N74" s="51"/>
      <c r="O74" s="51"/>
    </row>
    <row r="75" spans="1:15" ht="18" customHeight="1" x14ac:dyDescent="0.35">
      <c r="A75" s="29" t="s">
        <v>173</v>
      </c>
      <c r="B75" s="52" t="s">
        <v>171</v>
      </c>
      <c r="C75" s="52"/>
      <c r="D75" s="52"/>
      <c r="E75" s="52"/>
      <c r="F75" s="52"/>
      <c r="G75" s="52"/>
      <c r="H75" s="53" t="s">
        <v>174</v>
      </c>
      <c r="I75" s="53"/>
      <c r="J75" s="53"/>
      <c r="K75" s="53"/>
      <c r="L75" s="53"/>
      <c r="M75" s="53"/>
      <c r="N75" s="53"/>
      <c r="O75" s="53"/>
    </row>
    <row r="76" spans="1:15" ht="18" customHeight="1" x14ac:dyDescent="0.35">
      <c r="A76" s="28" t="s">
        <v>175</v>
      </c>
      <c r="B76" s="50" t="s">
        <v>168</v>
      </c>
      <c r="C76" s="50"/>
      <c r="D76" s="50"/>
      <c r="E76" s="50"/>
      <c r="F76" s="50"/>
      <c r="G76" s="50"/>
      <c r="H76" s="51" t="s">
        <v>176</v>
      </c>
      <c r="I76" s="51"/>
      <c r="J76" s="51"/>
      <c r="K76" s="51"/>
      <c r="L76" s="51"/>
      <c r="M76" s="51"/>
      <c r="N76" s="51"/>
      <c r="O76" s="51"/>
    </row>
    <row r="77" spans="1:15" ht="15.75" customHeight="1" x14ac:dyDescent="0.35">
      <c r="A77" s="54" t="s">
        <v>177</v>
      </c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</row>
  </sheetData>
  <mergeCells count="28">
    <mergeCell ref="A77:O77"/>
    <mergeCell ref="B74:G74"/>
    <mergeCell ref="H74:O74"/>
    <mergeCell ref="B75:G75"/>
    <mergeCell ref="H75:O75"/>
    <mergeCell ref="B76:G76"/>
    <mergeCell ref="H76:O76"/>
    <mergeCell ref="B71:G71"/>
    <mergeCell ref="H71:O71"/>
    <mergeCell ref="B72:G72"/>
    <mergeCell ref="H72:O72"/>
    <mergeCell ref="B73:G73"/>
    <mergeCell ref="H73:O73"/>
    <mergeCell ref="A68:O68"/>
    <mergeCell ref="B69:G69"/>
    <mergeCell ref="H69:O69"/>
    <mergeCell ref="B70:G70"/>
    <mergeCell ref="H70:O70"/>
    <mergeCell ref="A21:O21"/>
    <mergeCell ref="A35:O35"/>
    <mergeCell ref="A49:O49"/>
    <mergeCell ref="A64:F64"/>
    <mergeCell ref="A65:F65"/>
    <mergeCell ref="A1:O1"/>
    <mergeCell ref="A2:O2"/>
    <mergeCell ref="A3:O3"/>
    <mergeCell ref="A6:O6"/>
    <mergeCell ref="A7:O7"/>
  </mergeCells>
  <conditionalFormatting sqref="G8:G61">
    <cfRule type="cellIs" dxfId="17" priority="2" operator="equal">
      <formula>"Pass"</formula>
    </cfRule>
    <cfRule type="cellIs" dxfId="16" priority="3" operator="equal">
      <formula>"Fail"</formula>
    </cfRule>
  </conditionalFormatting>
  <conditionalFormatting sqref="K8:K61">
    <cfRule type="cellIs" dxfId="15" priority="4" operator="equal">
      <formula>"Pass"</formula>
    </cfRule>
    <cfRule type="cellIs" dxfId="14" priority="5" operator="equal">
      <formula>"Fail"</formula>
    </cfRule>
  </conditionalFormatting>
  <conditionalFormatting sqref="M8:M61">
    <cfRule type="cellIs" dxfId="13" priority="6" operator="equal">
      <formula>"Pass"</formula>
    </cfRule>
    <cfRule type="cellIs" dxfId="12" priority="7" operator="equal">
      <formula>"Fail"</formula>
    </cfRule>
  </conditionalFormatting>
  <conditionalFormatting sqref="N8:N61">
    <cfRule type="cellIs" dxfId="11" priority="8" operator="equal">
      <formula>"PASS"</formula>
    </cfRule>
    <cfRule type="cellIs" dxfId="10" priority="9" operator="equal">
      <formula>"FAIL"</formula>
    </cfRule>
  </conditionalFormatting>
  <pageMargins left="0.4" right="0.4" top="0.5" bottom="0.5" header="0.3" footer="0.3"/>
  <pageSetup paperSize="9" orientation="landscape" r:id="rId1"/>
  <headerFooter>
    <oddHeader>&amp;C&amp;9 Sistem_Instr</oddHeader>
    <oddFooter>&amp;L&amp;8 Lab Sensor Sistem Telekontrol — DTNTF UGM | Component QC Log&amp;R&amp;8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7"/>
  <sheetViews>
    <sheetView showGridLines="0" zoomScale="70" zoomScaleNormal="70" workbookViewId="0">
      <pane ySplit="5" topLeftCell="A63" activePane="bottomLeft" state="frozen"/>
      <selection pane="bottomLeft" activeCell="P57" sqref="P57"/>
    </sheetView>
  </sheetViews>
  <sheetFormatPr defaultColWidth="8.6328125" defaultRowHeight="14.5" x14ac:dyDescent="0.35"/>
  <cols>
    <col min="1" max="1" width="24.36328125" bestFit="1" customWidth="1"/>
    <col min="2" max="2" width="13.1796875" bestFit="1" customWidth="1"/>
    <col min="3" max="3" width="17.6328125" bestFit="1" customWidth="1"/>
    <col min="4" max="4" width="9.1796875" bestFit="1" customWidth="1"/>
    <col min="5" max="5" width="10.36328125" bestFit="1" customWidth="1"/>
    <col min="6" max="6" width="3.7265625" bestFit="1" customWidth="1"/>
    <col min="7" max="7" width="9.81640625" bestFit="1" customWidth="1"/>
    <col min="8" max="8" width="12.54296875" bestFit="1" customWidth="1"/>
    <col min="9" max="9" width="9.453125" bestFit="1" customWidth="1"/>
    <col min="10" max="10" width="14.81640625" bestFit="1" customWidth="1"/>
    <col min="11" max="11" width="9.1796875" bestFit="1" customWidth="1"/>
    <col min="12" max="12" width="15.36328125" bestFit="1" customWidth="1"/>
    <col min="13" max="13" width="6.26953125" bestFit="1" customWidth="1"/>
    <col min="14" max="14" width="6.7265625" bestFit="1" customWidth="1"/>
    <col min="15" max="15" width="20" customWidth="1"/>
  </cols>
  <sheetData>
    <row r="1" spans="1:15" ht="27.75" customHeight="1" x14ac:dyDescent="0.35">
      <c r="A1" s="65" t="s">
        <v>358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15" ht="15.75" customHeight="1" x14ac:dyDescent="0.35">
      <c r="A2" s="56" t="s">
        <v>29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5" ht="15.75" customHeight="1" x14ac:dyDescent="0.35">
      <c r="A3" s="57" t="s">
        <v>359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ht="3.75" customHeight="1" x14ac:dyDescent="0.35"/>
    <row r="5" spans="1:15" ht="36" customHeight="1" x14ac:dyDescent="0.35">
      <c r="A5" s="18" t="s">
        <v>31</v>
      </c>
      <c r="B5" s="18" t="s">
        <v>32</v>
      </c>
      <c r="C5" s="18" t="s">
        <v>33</v>
      </c>
      <c r="D5" s="18" t="s">
        <v>34</v>
      </c>
      <c r="E5" s="18" t="s">
        <v>35</v>
      </c>
      <c r="F5" s="18" t="s">
        <v>36</v>
      </c>
      <c r="G5" s="18" t="s">
        <v>37</v>
      </c>
      <c r="H5" s="18" t="s">
        <v>38</v>
      </c>
      <c r="I5" s="18" t="s">
        <v>39</v>
      </c>
      <c r="J5" s="18" t="s">
        <v>40</v>
      </c>
      <c r="K5" s="18" t="s">
        <v>41</v>
      </c>
      <c r="L5" s="18" t="s">
        <v>42</v>
      </c>
      <c r="M5" s="18" t="s">
        <v>43</v>
      </c>
      <c r="N5" s="18" t="s">
        <v>44</v>
      </c>
      <c r="O5" s="18" t="s">
        <v>45</v>
      </c>
    </row>
    <row r="6" spans="1:15" ht="13.5" customHeight="1" x14ac:dyDescent="0.35">
      <c r="A6" s="58" t="s">
        <v>46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</row>
    <row r="7" spans="1:15" ht="15.75" customHeight="1" x14ac:dyDescent="0.35">
      <c r="A7" s="3" t="s">
        <v>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23" x14ac:dyDescent="0.35">
      <c r="A8" s="30">
        <v>1</v>
      </c>
      <c r="B8" s="31" t="s">
        <v>360</v>
      </c>
      <c r="C8" s="32" t="s">
        <v>361</v>
      </c>
      <c r="D8" s="31" t="s">
        <v>362</v>
      </c>
      <c r="E8" s="31" t="s">
        <v>51</v>
      </c>
      <c r="F8" s="31">
        <v>18</v>
      </c>
      <c r="G8" s="31" t="s">
        <v>52</v>
      </c>
      <c r="H8" s="31">
        <v>3.3</v>
      </c>
      <c r="I8" s="31">
        <v>3.05</v>
      </c>
      <c r="J8" s="32" t="s">
        <v>363</v>
      </c>
      <c r="K8" s="30" t="str">
        <f t="shared" ref="K8:K19" si="0">IF(G8="Fail","Fail",IF(ABS(I8-H8)/IF(H8=0,1,H8)&lt;=0.1,"Pass","Fail"))</f>
        <v>Pass</v>
      </c>
      <c r="L8" s="32" t="s">
        <v>364</v>
      </c>
      <c r="M8" s="31" t="s">
        <v>52</v>
      </c>
      <c r="N8" s="33" t="str">
        <f t="shared" ref="N8:N19" si="1">IF(AND(G8="Pass",K8="Pass",M8="Pass"),"PASS","FAIL")</f>
        <v>PASS</v>
      </c>
      <c r="O8" s="34" t="str">
        <f t="shared" ref="O8:O19" si="2">IF(N8="PASS","Release to practicum","Quarantine — do not issue to students")</f>
        <v>Release to practicum</v>
      </c>
    </row>
    <row r="9" spans="1:15" x14ac:dyDescent="0.35">
      <c r="A9" s="35">
        <v>2</v>
      </c>
      <c r="B9" s="31" t="s">
        <v>365</v>
      </c>
      <c r="C9" s="32" t="s">
        <v>366</v>
      </c>
      <c r="D9" s="31" t="s">
        <v>367</v>
      </c>
      <c r="E9" s="31" t="s">
        <v>51</v>
      </c>
      <c r="F9" s="31">
        <v>21</v>
      </c>
      <c r="G9" s="31" t="s">
        <v>52</v>
      </c>
      <c r="H9" s="31">
        <v>5</v>
      </c>
      <c r="I9" s="31">
        <v>5.24</v>
      </c>
      <c r="J9" s="32" t="s">
        <v>368</v>
      </c>
      <c r="K9" s="30" t="str">
        <f t="shared" si="0"/>
        <v>Pass</v>
      </c>
      <c r="L9" s="32" t="s">
        <v>369</v>
      </c>
      <c r="M9" s="31" t="s">
        <v>52</v>
      </c>
      <c r="N9" s="33" t="str">
        <f t="shared" si="1"/>
        <v>PASS</v>
      </c>
      <c r="O9" s="34" t="str">
        <f t="shared" si="2"/>
        <v>Release to practicum</v>
      </c>
    </row>
    <row r="10" spans="1:15" x14ac:dyDescent="0.35">
      <c r="A10" s="30">
        <v>3</v>
      </c>
      <c r="B10" s="31" t="s">
        <v>370</v>
      </c>
      <c r="C10" s="32" t="s">
        <v>371</v>
      </c>
      <c r="D10" s="31" t="s">
        <v>372</v>
      </c>
      <c r="E10" s="31" t="s">
        <v>51</v>
      </c>
      <c r="F10" s="31">
        <v>18</v>
      </c>
      <c r="G10" s="31" t="s">
        <v>52</v>
      </c>
      <c r="H10" s="31">
        <v>4</v>
      </c>
      <c r="I10" s="31">
        <v>4.17</v>
      </c>
      <c r="J10" s="32" t="s">
        <v>368</v>
      </c>
      <c r="K10" s="30" t="str">
        <f t="shared" si="0"/>
        <v>Pass</v>
      </c>
      <c r="L10" s="32" t="s">
        <v>373</v>
      </c>
      <c r="M10" s="31" t="s">
        <v>52</v>
      </c>
      <c r="N10" s="33" t="str">
        <f t="shared" si="1"/>
        <v>PASS</v>
      </c>
      <c r="O10" s="34" t="str">
        <f t="shared" si="2"/>
        <v>Release to practicum</v>
      </c>
    </row>
    <row r="11" spans="1:15" ht="23" x14ac:dyDescent="0.35">
      <c r="A11" s="35">
        <v>4</v>
      </c>
      <c r="B11" s="31" t="s">
        <v>374</v>
      </c>
      <c r="C11" s="32" t="s">
        <v>375</v>
      </c>
      <c r="D11" s="31" t="s">
        <v>376</v>
      </c>
      <c r="E11" s="31" t="s">
        <v>51</v>
      </c>
      <c r="F11" s="31">
        <v>21</v>
      </c>
      <c r="G11" s="31" t="s">
        <v>75</v>
      </c>
      <c r="H11" s="31">
        <v>3.3</v>
      </c>
      <c r="I11" s="31">
        <v>3.08</v>
      </c>
      <c r="J11" s="32" t="s">
        <v>377</v>
      </c>
      <c r="K11" s="30" t="str">
        <f t="shared" si="0"/>
        <v>Fail</v>
      </c>
      <c r="L11" s="32" t="s">
        <v>378</v>
      </c>
      <c r="M11" s="31" t="s">
        <v>52</v>
      </c>
      <c r="N11" s="33" t="str">
        <f t="shared" si="1"/>
        <v>FAIL</v>
      </c>
      <c r="O11" s="34" t="str">
        <f t="shared" si="2"/>
        <v>Quarantine — do not issue to students</v>
      </c>
    </row>
    <row r="12" spans="1:15" x14ac:dyDescent="0.35">
      <c r="A12" s="30">
        <v>5</v>
      </c>
      <c r="B12" s="31" t="s">
        <v>379</v>
      </c>
      <c r="C12" s="32" t="s">
        <v>380</v>
      </c>
      <c r="D12" s="31" t="s">
        <v>381</v>
      </c>
      <c r="E12" s="31" t="s">
        <v>69</v>
      </c>
      <c r="F12" s="31">
        <v>21</v>
      </c>
      <c r="G12" s="31" t="s">
        <v>52</v>
      </c>
      <c r="H12" s="31">
        <v>5</v>
      </c>
      <c r="I12" s="31">
        <v>5.09</v>
      </c>
      <c r="J12" s="32" t="s">
        <v>363</v>
      </c>
      <c r="K12" s="30" t="str">
        <f t="shared" si="0"/>
        <v>Pass</v>
      </c>
      <c r="L12" s="32" t="s">
        <v>382</v>
      </c>
      <c r="M12" s="31" t="s">
        <v>52</v>
      </c>
      <c r="N12" s="33" t="str">
        <f t="shared" si="1"/>
        <v>PASS</v>
      </c>
      <c r="O12" s="34" t="str">
        <f t="shared" si="2"/>
        <v>Release to practicum</v>
      </c>
    </row>
    <row r="13" spans="1:15" ht="15" customHeight="1" x14ac:dyDescent="0.35">
      <c r="A13" s="35">
        <v>6</v>
      </c>
      <c r="B13" s="31" t="s">
        <v>383</v>
      </c>
      <c r="C13" s="32" t="s">
        <v>384</v>
      </c>
      <c r="D13" s="31" t="s">
        <v>385</v>
      </c>
      <c r="E13" s="31" t="s">
        <v>69</v>
      </c>
      <c r="F13" s="31">
        <v>20</v>
      </c>
      <c r="G13" s="31" t="s">
        <v>52</v>
      </c>
      <c r="H13" s="31">
        <v>5</v>
      </c>
      <c r="I13" s="31">
        <v>4.9800000000000004</v>
      </c>
      <c r="J13" s="32" t="s">
        <v>386</v>
      </c>
      <c r="K13" s="30" t="str">
        <f t="shared" si="0"/>
        <v>Pass</v>
      </c>
      <c r="L13" s="32" t="s">
        <v>387</v>
      </c>
      <c r="M13" s="31" t="s">
        <v>52</v>
      </c>
      <c r="N13" s="33" t="str">
        <f t="shared" si="1"/>
        <v>PASS</v>
      </c>
      <c r="O13" s="34" t="str">
        <f t="shared" si="2"/>
        <v>Release to practicum</v>
      </c>
    </row>
    <row r="14" spans="1:15" ht="23" x14ac:dyDescent="0.35">
      <c r="A14" s="30">
        <v>7</v>
      </c>
      <c r="B14" s="31" t="s">
        <v>388</v>
      </c>
      <c r="C14" s="32" t="s">
        <v>389</v>
      </c>
      <c r="D14" s="31" t="s">
        <v>390</v>
      </c>
      <c r="E14" s="31" t="s">
        <v>69</v>
      </c>
      <c r="F14" s="31">
        <v>25</v>
      </c>
      <c r="G14" s="31" t="s">
        <v>52</v>
      </c>
      <c r="H14" s="31">
        <v>8</v>
      </c>
      <c r="I14" s="31">
        <v>7.14</v>
      </c>
      <c r="J14" s="32" t="s">
        <v>71</v>
      </c>
      <c r="K14" s="30" t="str">
        <f t="shared" si="0"/>
        <v>Fail</v>
      </c>
      <c r="L14" s="32" t="s">
        <v>391</v>
      </c>
      <c r="M14" s="31" t="s">
        <v>52</v>
      </c>
      <c r="N14" s="33" t="str">
        <f t="shared" si="1"/>
        <v>FAIL</v>
      </c>
      <c r="O14" s="34" t="str">
        <f t="shared" si="2"/>
        <v>Quarantine — do not issue to students</v>
      </c>
    </row>
    <row r="15" spans="1:15" ht="23" x14ac:dyDescent="0.35">
      <c r="A15" s="35">
        <v>8</v>
      </c>
      <c r="B15" s="31" t="s">
        <v>392</v>
      </c>
      <c r="C15" s="32" t="s">
        <v>393</v>
      </c>
      <c r="D15" s="31" t="s">
        <v>394</v>
      </c>
      <c r="E15" s="31" t="s">
        <v>69</v>
      </c>
      <c r="F15" s="31">
        <v>20</v>
      </c>
      <c r="G15" s="31" t="s">
        <v>52</v>
      </c>
      <c r="H15" s="31">
        <v>4</v>
      </c>
      <c r="I15" s="31">
        <v>3.94</v>
      </c>
      <c r="J15" s="32" t="s">
        <v>89</v>
      </c>
      <c r="K15" s="30" t="str">
        <f t="shared" si="0"/>
        <v>Pass</v>
      </c>
      <c r="L15" s="32" t="s">
        <v>395</v>
      </c>
      <c r="M15" s="31" t="s">
        <v>75</v>
      </c>
      <c r="N15" s="33" t="str">
        <f t="shared" si="1"/>
        <v>FAIL</v>
      </c>
      <c r="O15" s="34" t="str">
        <f t="shared" si="2"/>
        <v>Quarantine — do not issue to students</v>
      </c>
    </row>
    <row r="16" spans="1:15" x14ac:dyDescent="0.35">
      <c r="A16" s="30">
        <v>9</v>
      </c>
      <c r="B16" s="31" t="s">
        <v>396</v>
      </c>
      <c r="C16" s="32" t="s">
        <v>397</v>
      </c>
      <c r="D16" s="31" t="s">
        <v>398</v>
      </c>
      <c r="E16" s="31" t="s">
        <v>87</v>
      </c>
      <c r="F16" s="31">
        <v>20</v>
      </c>
      <c r="G16" s="31" t="s">
        <v>52</v>
      </c>
      <c r="H16" s="31">
        <v>50</v>
      </c>
      <c r="I16" s="31">
        <v>52.03</v>
      </c>
      <c r="J16" s="32" t="s">
        <v>206</v>
      </c>
      <c r="K16" s="30" t="str">
        <f t="shared" si="0"/>
        <v>Pass</v>
      </c>
      <c r="L16" s="32" t="s">
        <v>207</v>
      </c>
      <c r="M16" s="31" t="s">
        <v>52</v>
      </c>
      <c r="N16" s="33" t="str">
        <f t="shared" si="1"/>
        <v>PASS</v>
      </c>
      <c r="O16" s="34" t="str">
        <f t="shared" si="2"/>
        <v>Release to practicum</v>
      </c>
    </row>
    <row r="17" spans="1:15" x14ac:dyDescent="0.35">
      <c r="A17" s="35">
        <v>10</v>
      </c>
      <c r="B17" s="31" t="s">
        <v>399</v>
      </c>
      <c r="C17" s="32" t="s">
        <v>400</v>
      </c>
      <c r="D17" s="31" t="s">
        <v>401</v>
      </c>
      <c r="E17" s="31" t="s">
        <v>87</v>
      </c>
      <c r="F17" s="31">
        <v>23</v>
      </c>
      <c r="G17" s="31" t="s">
        <v>52</v>
      </c>
      <c r="H17" s="31">
        <v>2</v>
      </c>
      <c r="I17" s="31">
        <v>2.0499999999999998</v>
      </c>
      <c r="J17" s="32" t="s">
        <v>402</v>
      </c>
      <c r="K17" s="30" t="str">
        <f t="shared" si="0"/>
        <v>Pass</v>
      </c>
      <c r="L17" s="32" t="s">
        <v>403</v>
      </c>
      <c r="M17" s="31" t="s">
        <v>52</v>
      </c>
      <c r="N17" s="33" t="str">
        <f t="shared" si="1"/>
        <v>PASS</v>
      </c>
      <c r="O17" s="34" t="str">
        <f t="shared" si="2"/>
        <v>Release to practicum</v>
      </c>
    </row>
    <row r="18" spans="1:15" ht="23" x14ac:dyDescent="0.35">
      <c r="A18" s="30">
        <v>11</v>
      </c>
      <c r="B18" s="31" t="s">
        <v>404</v>
      </c>
      <c r="C18" s="32" t="s">
        <v>405</v>
      </c>
      <c r="D18" s="31" t="s">
        <v>406</v>
      </c>
      <c r="E18" s="31" t="s">
        <v>87</v>
      </c>
      <c r="F18" s="31">
        <v>24</v>
      </c>
      <c r="G18" s="31" t="s">
        <v>52</v>
      </c>
      <c r="H18" s="31">
        <v>10</v>
      </c>
      <c r="I18" s="31">
        <v>8.84</v>
      </c>
      <c r="J18" s="32" t="s">
        <v>214</v>
      </c>
      <c r="K18" s="30" t="str">
        <f t="shared" si="0"/>
        <v>Fail</v>
      </c>
      <c r="L18" s="32" t="s">
        <v>407</v>
      </c>
      <c r="M18" s="31" t="s">
        <v>52</v>
      </c>
      <c r="N18" s="33" t="str">
        <f t="shared" si="1"/>
        <v>FAIL</v>
      </c>
      <c r="O18" s="34" t="str">
        <f t="shared" si="2"/>
        <v>Quarantine — do not issue to students</v>
      </c>
    </row>
    <row r="19" spans="1:15" x14ac:dyDescent="0.35">
      <c r="A19" s="35">
        <v>12</v>
      </c>
      <c r="B19" s="31" t="s">
        <v>408</v>
      </c>
      <c r="C19" s="32" t="s">
        <v>409</v>
      </c>
      <c r="D19" s="31" t="s">
        <v>410</v>
      </c>
      <c r="E19" s="31" t="s">
        <v>87</v>
      </c>
      <c r="F19" s="31">
        <v>23</v>
      </c>
      <c r="G19" s="31" t="s">
        <v>52</v>
      </c>
      <c r="H19" s="31">
        <v>10</v>
      </c>
      <c r="I19" s="31">
        <v>9.7200000000000006</v>
      </c>
      <c r="J19" s="32" t="s">
        <v>214</v>
      </c>
      <c r="K19" s="30" t="str">
        <f t="shared" si="0"/>
        <v>Pass</v>
      </c>
      <c r="L19" s="32" t="s">
        <v>407</v>
      </c>
      <c r="M19" s="31" t="s">
        <v>52</v>
      </c>
      <c r="N19" s="33" t="str">
        <f t="shared" si="1"/>
        <v>PASS</v>
      </c>
      <c r="O19" s="34" t="str">
        <f t="shared" si="2"/>
        <v>Release to practicum</v>
      </c>
    </row>
    <row r="21" spans="1:15" ht="15.75" customHeight="1" x14ac:dyDescent="0.35">
      <c r="A21" s="3" t="s">
        <v>103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23" x14ac:dyDescent="0.35">
      <c r="A22" s="30">
        <v>1</v>
      </c>
      <c r="B22" s="31" t="s">
        <v>360</v>
      </c>
      <c r="C22" s="32" t="s">
        <v>361</v>
      </c>
      <c r="D22" s="31" t="s">
        <v>411</v>
      </c>
      <c r="E22" s="31" t="s">
        <v>105</v>
      </c>
      <c r="F22" s="31">
        <v>21</v>
      </c>
      <c r="G22" s="31" t="s">
        <v>52</v>
      </c>
      <c r="H22" s="31">
        <v>3.3</v>
      </c>
      <c r="I22" s="31">
        <v>3.69</v>
      </c>
      <c r="J22" s="32" t="s">
        <v>363</v>
      </c>
      <c r="K22" s="30" t="str">
        <f t="shared" ref="K22:K33" si="3">IF(G22="Fail","Fail",IF(ABS(I22-H22)/IF(H22=0,1,H22)&lt;=0.1,"Pass","Fail"))</f>
        <v>Fail</v>
      </c>
      <c r="L22" s="32" t="s">
        <v>364</v>
      </c>
      <c r="M22" s="31" t="s">
        <v>52</v>
      </c>
      <c r="N22" s="33" t="str">
        <f t="shared" ref="N22:N33" si="4">IF(AND(G22="Pass",K22="Pass",M22="Pass"),"PASS","FAIL")</f>
        <v>FAIL</v>
      </c>
      <c r="O22" s="34" t="str">
        <f t="shared" ref="O22:O33" si="5">IF(N22="PASS","Release to practicum","Quarantine — do not issue to students")</f>
        <v>Quarantine — do not issue to students</v>
      </c>
    </row>
    <row r="23" spans="1:15" x14ac:dyDescent="0.35">
      <c r="A23" s="35">
        <v>2</v>
      </c>
      <c r="B23" s="31" t="s">
        <v>365</v>
      </c>
      <c r="C23" s="32" t="s">
        <v>366</v>
      </c>
      <c r="D23" s="31" t="s">
        <v>412</v>
      </c>
      <c r="E23" s="31" t="s">
        <v>105</v>
      </c>
      <c r="F23" s="31">
        <v>18</v>
      </c>
      <c r="G23" s="31" t="s">
        <v>52</v>
      </c>
      <c r="H23" s="31">
        <v>5</v>
      </c>
      <c r="I23" s="31">
        <v>5.27</v>
      </c>
      <c r="J23" s="32" t="s">
        <v>368</v>
      </c>
      <c r="K23" s="30" t="str">
        <f t="shared" si="3"/>
        <v>Pass</v>
      </c>
      <c r="L23" s="32" t="s">
        <v>369</v>
      </c>
      <c r="M23" s="31" t="s">
        <v>52</v>
      </c>
      <c r="N23" s="33" t="str">
        <f t="shared" si="4"/>
        <v>PASS</v>
      </c>
      <c r="O23" s="34" t="str">
        <f t="shared" si="5"/>
        <v>Release to practicum</v>
      </c>
    </row>
    <row r="24" spans="1:15" x14ac:dyDescent="0.35">
      <c r="A24" s="30">
        <v>3</v>
      </c>
      <c r="B24" s="31" t="s">
        <v>370</v>
      </c>
      <c r="C24" s="32" t="s">
        <v>371</v>
      </c>
      <c r="D24" s="31" t="s">
        <v>413</v>
      </c>
      <c r="E24" s="31" t="s">
        <v>105</v>
      </c>
      <c r="F24" s="31">
        <v>18</v>
      </c>
      <c r="G24" s="31" t="s">
        <v>52</v>
      </c>
      <c r="H24" s="31">
        <v>4</v>
      </c>
      <c r="I24" s="31">
        <v>3.92</v>
      </c>
      <c r="J24" s="32" t="s">
        <v>368</v>
      </c>
      <c r="K24" s="30" t="str">
        <f t="shared" si="3"/>
        <v>Pass</v>
      </c>
      <c r="L24" s="32" t="s">
        <v>373</v>
      </c>
      <c r="M24" s="31" t="s">
        <v>52</v>
      </c>
      <c r="N24" s="33" t="str">
        <f t="shared" si="4"/>
        <v>PASS</v>
      </c>
      <c r="O24" s="34" t="str">
        <f t="shared" si="5"/>
        <v>Release to practicum</v>
      </c>
    </row>
    <row r="25" spans="1:15" ht="23" x14ac:dyDescent="0.35">
      <c r="A25" s="35">
        <v>4</v>
      </c>
      <c r="B25" s="31" t="s">
        <v>374</v>
      </c>
      <c r="C25" s="32" t="s">
        <v>375</v>
      </c>
      <c r="D25" s="31" t="s">
        <v>414</v>
      </c>
      <c r="E25" s="31" t="s">
        <v>105</v>
      </c>
      <c r="F25" s="31">
        <v>18</v>
      </c>
      <c r="G25" s="31" t="s">
        <v>75</v>
      </c>
      <c r="H25" s="31">
        <v>3.3</v>
      </c>
      <c r="I25" s="31">
        <v>3.62</v>
      </c>
      <c r="J25" s="32" t="s">
        <v>377</v>
      </c>
      <c r="K25" s="30" t="str">
        <f t="shared" si="3"/>
        <v>Fail</v>
      </c>
      <c r="L25" s="32" t="s">
        <v>378</v>
      </c>
      <c r="M25" s="31" t="s">
        <v>52</v>
      </c>
      <c r="N25" s="33" t="str">
        <f t="shared" si="4"/>
        <v>FAIL</v>
      </c>
      <c r="O25" s="34" t="str">
        <f t="shared" si="5"/>
        <v>Quarantine — do not issue to students</v>
      </c>
    </row>
    <row r="26" spans="1:15" x14ac:dyDescent="0.35">
      <c r="A26" s="30">
        <v>5</v>
      </c>
      <c r="B26" s="31" t="s">
        <v>379</v>
      </c>
      <c r="C26" s="32" t="s">
        <v>380</v>
      </c>
      <c r="D26" s="31" t="s">
        <v>415</v>
      </c>
      <c r="E26" s="31" t="s">
        <v>110</v>
      </c>
      <c r="F26" s="31">
        <v>25</v>
      </c>
      <c r="G26" s="31" t="s">
        <v>52</v>
      </c>
      <c r="H26" s="31">
        <v>5</v>
      </c>
      <c r="I26" s="31">
        <v>4.63</v>
      </c>
      <c r="J26" s="32" t="s">
        <v>363</v>
      </c>
      <c r="K26" s="30" t="str">
        <f t="shared" si="3"/>
        <v>Pass</v>
      </c>
      <c r="L26" s="32" t="s">
        <v>382</v>
      </c>
      <c r="M26" s="31" t="s">
        <v>52</v>
      </c>
      <c r="N26" s="33" t="str">
        <f t="shared" si="4"/>
        <v>PASS</v>
      </c>
      <c r="O26" s="34" t="str">
        <f t="shared" si="5"/>
        <v>Release to practicum</v>
      </c>
    </row>
    <row r="27" spans="1:15" ht="23" x14ac:dyDescent="0.35">
      <c r="A27" s="35">
        <v>6</v>
      </c>
      <c r="B27" s="31" t="s">
        <v>383</v>
      </c>
      <c r="C27" s="32" t="s">
        <v>384</v>
      </c>
      <c r="D27" s="31" t="s">
        <v>416</v>
      </c>
      <c r="E27" s="31" t="s">
        <v>110</v>
      </c>
      <c r="F27" s="31">
        <v>19</v>
      </c>
      <c r="G27" s="31" t="s">
        <v>52</v>
      </c>
      <c r="H27" s="31">
        <v>5</v>
      </c>
      <c r="I27" s="31">
        <v>5</v>
      </c>
      <c r="J27" s="32" t="s">
        <v>386</v>
      </c>
      <c r="K27" s="30" t="str">
        <f t="shared" si="3"/>
        <v>Pass</v>
      </c>
      <c r="L27" s="32" t="s">
        <v>387</v>
      </c>
      <c r="M27" s="31" t="s">
        <v>75</v>
      </c>
      <c r="N27" s="33" t="str">
        <f t="shared" si="4"/>
        <v>FAIL</v>
      </c>
      <c r="O27" s="34" t="str">
        <f t="shared" si="5"/>
        <v>Quarantine — do not issue to students</v>
      </c>
    </row>
    <row r="28" spans="1:15" ht="23" x14ac:dyDescent="0.35">
      <c r="A28" s="30">
        <v>7</v>
      </c>
      <c r="B28" s="31" t="s">
        <v>388</v>
      </c>
      <c r="C28" s="32" t="s">
        <v>389</v>
      </c>
      <c r="D28" s="31" t="s">
        <v>417</v>
      </c>
      <c r="E28" s="31" t="s">
        <v>110</v>
      </c>
      <c r="F28" s="31">
        <v>22</v>
      </c>
      <c r="G28" s="31" t="s">
        <v>75</v>
      </c>
      <c r="H28" s="31">
        <v>8</v>
      </c>
      <c r="I28" s="31">
        <v>7.98</v>
      </c>
      <c r="J28" s="32" t="s">
        <v>71</v>
      </c>
      <c r="K28" s="30" t="str">
        <f t="shared" si="3"/>
        <v>Fail</v>
      </c>
      <c r="L28" s="32" t="s">
        <v>391</v>
      </c>
      <c r="M28" s="31" t="s">
        <v>75</v>
      </c>
      <c r="N28" s="33" t="str">
        <f t="shared" si="4"/>
        <v>FAIL</v>
      </c>
      <c r="O28" s="34" t="str">
        <f t="shared" si="5"/>
        <v>Quarantine — do not issue to students</v>
      </c>
    </row>
    <row r="29" spans="1:15" x14ac:dyDescent="0.35">
      <c r="A29" s="35">
        <v>8</v>
      </c>
      <c r="B29" s="31" t="s">
        <v>392</v>
      </c>
      <c r="C29" s="32" t="s">
        <v>393</v>
      </c>
      <c r="D29" s="31" t="s">
        <v>418</v>
      </c>
      <c r="E29" s="31" t="s">
        <v>110</v>
      </c>
      <c r="F29" s="31">
        <v>18</v>
      </c>
      <c r="G29" s="31" t="s">
        <v>52</v>
      </c>
      <c r="H29" s="31">
        <v>4</v>
      </c>
      <c r="I29" s="31">
        <v>3.88</v>
      </c>
      <c r="J29" s="32" t="s">
        <v>89</v>
      </c>
      <c r="K29" s="30" t="str">
        <f t="shared" si="3"/>
        <v>Pass</v>
      </c>
      <c r="L29" s="32" t="s">
        <v>395</v>
      </c>
      <c r="M29" s="31" t="s">
        <v>52</v>
      </c>
      <c r="N29" s="33" t="str">
        <f t="shared" si="4"/>
        <v>PASS</v>
      </c>
      <c r="O29" s="34" t="str">
        <f t="shared" si="5"/>
        <v>Release to practicum</v>
      </c>
    </row>
    <row r="30" spans="1:15" ht="23" x14ac:dyDescent="0.35">
      <c r="A30" s="30">
        <v>9</v>
      </c>
      <c r="B30" s="31" t="s">
        <v>396</v>
      </c>
      <c r="C30" s="32" t="s">
        <v>397</v>
      </c>
      <c r="D30" s="31" t="s">
        <v>419</v>
      </c>
      <c r="E30" s="31" t="s">
        <v>115</v>
      </c>
      <c r="F30" s="31">
        <v>21</v>
      </c>
      <c r="G30" s="31" t="s">
        <v>52</v>
      </c>
      <c r="H30" s="31">
        <v>50</v>
      </c>
      <c r="I30" s="31">
        <v>55.94</v>
      </c>
      <c r="J30" s="32" t="s">
        <v>206</v>
      </c>
      <c r="K30" s="30" t="str">
        <f t="shared" si="3"/>
        <v>Fail</v>
      </c>
      <c r="L30" s="32" t="s">
        <v>207</v>
      </c>
      <c r="M30" s="31" t="s">
        <v>52</v>
      </c>
      <c r="N30" s="33" t="str">
        <f t="shared" si="4"/>
        <v>FAIL</v>
      </c>
      <c r="O30" s="34" t="str">
        <f t="shared" si="5"/>
        <v>Quarantine — do not issue to students</v>
      </c>
    </row>
    <row r="31" spans="1:15" ht="23" x14ac:dyDescent="0.35">
      <c r="A31" s="35">
        <v>10</v>
      </c>
      <c r="B31" s="31" t="s">
        <v>399</v>
      </c>
      <c r="C31" s="32" t="s">
        <v>400</v>
      </c>
      <c r="D31" s="31" t="s">
        <v>420</v>
      </c>
      <c r="E31" s="31" t="s">
        <v>115</v>
      </c>
      <c r="F31" s="31">
        <v>23</v>
      </c>
      <c r="G31" s="31" t="s">
        <v>52</v>
      </c>
      <c r="H31" s="31">
        <v>2</v>
      </c>
      <c r="I31" s="31">
        <v>1.96</v>
      </c>
      <c r="J31" s="32" t="s">
        <v>402</v>
      </c>
      <c r="K31" s="30" t="str">
        <f t="shared" si="3"/>
        <v>Pass</v>
      </c>
      <c r="L31" s="32" t="s">
        <v>403</v>
      </c>
      <c r="M31" s="31" t="s">
        <v>75</v>
      </c>
      <c r="N31" s="33" t="str">
        <f t="shared" si="4"/>
        <v>FAIL</v>
      </c>
      <c r="O31" s="34" t="str">
        <f t="shared" si="5"/>
        <v>Quarantine — do not issue to students</v>
      </c>
    </row>
    <row r="32" spans="1:15" x14ac:dyDescent="0.35">
      <c r="A32" s="30">
        <v>11</v>
      </c>
      <c r="B32" s="31" t="s">
        <v>404</v>
      </c>
      <c r="C32" s="32" t="s">
        <v>405</v>
      </c>
      <c r="D32" s="31" t="s">
        <v>421</v>
      </c>
      <c r="E32" s="31" t="s">
        <v>115</v>
      </c>
      <c r="F32" s="31">
        <v>19</v>
      </c>
      <c r="G32" s="31" t="s">
        <v>52</v>
      </c>
      <c r="H32" s="31">
        <v>10</v>
      </c>
      <c r="I32" s="31">
        <v>9.82</v>
      </c>
      <c r="J32" s="32" t="s">
        <v>214</v>
      </c>
      <c r="K32" s="30" t="str">
        <f t="shared" si="3"/>
        <v>Pass</v>
      </c>
      <c r="L32" s="32" t="s">
        <v>407</v>
      </c>
      <c r="M32" s="31" t="s">
        <v>52</v>
      </c>
      <c r="N32" s="33" t="str">
        <f t="shared" si="4"/>
        <v>PASS</v>
      </c>
      <c r="O32" s="34" t="str">
        <f t="shared" si="5"/>
        <v>Release to practicum</v>
      </c>
    </row>
    <row r="33" spans="1:15" x14ac:dyDescent="0.35">
      <c r="A33" s="35">
        <v>12</v>
      </c>
      <c r="B33" s="31" t="s">
        <v>408</v>
      </c>
      <c r="C33" s="32" t="s">
        <v>409</v>
      </c>
      <c r="D33" s="31" t="s">
        <v>422</v>
      </c>
      <c r="E33" s="31" t="s">
        <v>115</v>
      </c>
      <c r="F33" s="31">
        <v>24</v>
      </c>
      <c r="G33" s="31" t="s">
        <v>52</v>
      </c>
      <c r="H33" s="31">
        <v>10</v>
      </c>
      <c r="I33" s="31">
        <v>10.8</v>
      </c>
      <c r="J33" s="32" t="s">
        <v>214</v>
      </c>
      <c r="K33" s="30" t="str">
        <f t="shared" si="3"/>
        <v>Pass</v>
      </c>
      <c r="L33" s="32" t="s">
        <v>407</v>
      </c>
      <c r="M33" s="31" t="s">
        <v>52</v>
      </c>
      <c r="N33" s="33" t="str">
        <f t="shared" si="4"/>
        <v>PASS</v>
      </c>
      <c r="O33" s="34" t="str">
        <f t="shared" si="5"/>
        <v>Release to practicum</v>
      </c>
    </row>
    <row r="35" spans="1:15" ht="15.75" customHeight="1" x14ac:dyDescent="0.35">
      <c r="A35" s="3" t="s">
        <v>119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ht="23" x14ac:dyDescent="0.35">
      <c r="A36" s="30">
        <v>1</v>
      </c>
      <c r="B36" s="31" t="s">
        <v>360</v>
      </c>
      <c r="C36" s="32" t="s">
        <v>361</v>
      </c>
      <c r="D36" s="31" t="s">
        <v>423</v>
      </c>
      <c r="E36" s="31" t="s">
        <v>121</v>
      </c>
      <c r="F36" s="31">
        <v>18</v>
      </c>
      <c r="G36" s="31" t="s">
        <v>52</v>
      </c>
      <c r="H36" s="31">
        <v>3.3</v>
      </c>
      <c r="I36" s="31">
        <v>3.51</v>
      </c>
      <c r="J36" s="32" t="s">
        <v>363</v>
      </c>
      <c r="K36" s="30" t="str">
        <f t="shared" ref="K36:K47" si="6">IF(G36="Fail","Fail",IF(ABS(I36-H36)/IF(H36=0,1,H36)&lt;=0.1,"Pass","Fail"))</f>
        <v>Pass</v>
      </c>
      <c r="L36" s="32" t="s">
        <v>364</v>
      </c>
      <c r="M36" s="31" t="s">
        <v>52</v>
      </c>
      <c r="N36" s="33" t="str">
        <f t="shared" ref="N36:N47" si="7">IF(AND(G36="Pass",K36="Pass",M36="Pass"),"PASS","FAIL")</f>
        <v>PASS</v>
      </c>
      <c r="O36" s="34" t="str">
        <f t="shared" ref="O36:O47" si="8">IF(N36="PASS","Release to practicum","Quarantine — do not issue to students")</f>
        <v>Release to practicum</v>
      </c>
    </row>
    <row r="37" spans="1:15" x14ac:dyDescent="0.35">
      <c r="A37" s="35">
        <v>2</v>
      </c>
      <c r="B37" s="31" t="s">
        <v>365</v>
      </c>
      <c r="C37" s="32" t="s">
        <v>366</v>
      </c>
      <c r="D37" s="31" t="s">
        <v>424</v>
      </c>
      <c r="E37" s="31" t="s">
        <v>121</v>
      </c>
      <c r="F37" s="31">
        <v>20</v>
      </c>
      <c r="G37" s="31" t="s">
        <v>52</v>
      </c>
      <c r="H37" s="31">
        <v>5</v>
      </c>
      <c r="I37" s="31">
        <v>4.96</v>
      </c>
      <c r="J37" s="32" t="s">
        <v>368</v>
      </c>
      <c r="K37" s="30" t="str">
        <f t="shared" si="6"/>
        <v>Pass</v>
      </c>
      <c r="L37" s="32" t="s">
        <v>369</v>
      </c>
      <c r="M37" s="31" t="s">
        <v>52</v>
      </c>
      <c r="N37" s="33" t="str">
        <f t="shared" si="7"/>
        <v>PASS</v>
      </c>
      <c r="O37" s="34" t="str">
        <f t="shared" si="8"/>
        <v>Release to practicum</v>
      </c>
    </row>
    <row r="38" spans="1:15" x14ac:dyDescent="0.35">
      <c r="A38" s="30">
        <v>3</v>
      </c>
      <c r="B38" s="31" t="s">
        <v>370</v>
      </c>
      <c r="C38" s="32" t="s">
        <v>371</v>
      </c>
      <c r="D38" s="31" t="s">
        <v>425</v>
      </c>
      <c r="E38" s="31" t="s">
        <v>121</v>
      </c>
      <c r="F38" s="31">
        <v>20</v>
      </c>
      <c r="G38" s="31" t="s">
        <v>52</v>
      </c>
      <c r="H38" s="31">
        <v>4</v>
      </c>
      <c r="I38" s="31">
        <v>3.69</v>
      </c>
      <c r="J38" s="32" t="s">
        <v>368</v>
      </c>
      <c r="K38" s="30" t="str">
        <f t="shared" si="6"/>
        <v>Pass</v>
      </c>
      <c r="L38" s="32" t="s">
        <v>373</v>
      </c>
      <c r="M38" s="31" t="s">
        <v>52</v>
      </c>
      <c r="N38" s="33" t="str">
        <f t="shared" si="7"/>
        <v>PASS</v>
      </c>
      <c r="O38" s="34" t="str">
        <f t="shared" si="8"/>
        <v>Release to practicum</v>
      </c>
    </row>
    <row r="39" spans="1:15" ht="23" x14ac:dyDescent="0.35">
      <c r="A39" s="35">
        <v>4</v>
      </c>
      <c r="B39" s="31" t="s">
        <v>374</v>
      </c>
      <c r="C39" s="32" t="s">
        <v>375</v>
      </c>
      <c r="D39" s="31" t="s">
        <v>426</v>
      </c>
      <c r="E39" s="31" t="s">
        <v>121</v>
      </c>
      <c r="F39" s="31">
        <v>22</v>
      </c>
      <c r="G39" s="31" t="s">
        <v>52</v>
      </c>
      <c r="H39" s="31">
        <v>3.3</v>
      </c>
      <c r="I39" s="31">
        <v>2.94</v>
      </c>
      <c r="J39" s="32" t="s">
        <v>377</v>
      </c>
      <c r="K39" s="30" t="str">
        <f t="shared" si="6"/>
        <v>Fail</v>
      </c>
      <c r="L39" s="32" t="s">
        <v>378</v>
      </c>
      <c r="M39" s="31" t="s">
        <v>52</v>
      </c>
      <c r="N39" s="33" t="str">
        <f t="shared" si="7"/>
        <v>FAIL</v>
      </c>
      <c r="O39" s="34" t="str">
        <f t="shared" si="8"/>
        <v>Quarantine — do not issue to students</v>
      </c>
    </row>
    <row r="40" spans="1:15" x14ac:dyDescent="0.35">
      <c r="A40" s="30">
        <v>5</v>
      </c>
      <c r="B40" s="31" t="s">
        <v>379</v>
      </c>
      <c r="C40" s="32" t="s">
        <v>380</v>
      </c>
      <c r="D40" s="31" t="s">
        <v>427</v>
      </c>
      <c r="E40" s="31" t="s">
        <v>126</v>
      </c>
      <c r="F40" s="31">
        <v>18</v>
      </c>
      <c r="G40" s="31" t="s">
        <v>52</v>
      </c>
      <c r="H40" s="31">
        <v>5</v>
      </c>
      <c r="I40" s="31">
        <v>5.45</v>
      </c>
      <c r="J40" s="32" t="s">
        <v>363</v>
      </c>
      <c r="K40" s="30" t="str">
        <f t="shared" si="6"/>
        <v>Pass</v>
      </c>
      <c r="L40" s="32" t="s">
        <v>382</v>
      </c>
      <c r="M40" s="31" t="s">
        <v>52</v>
      </c>
      <c r="N40" s="33" t="str">
        <f t="shared" si="7"/>
        <v>PASS</v>
      </c>
      <c r="O40" s="34" t="str">
        <f t="shared" si="8"/>
        <v>Release to practicum</v>
      </c>
    </row>
    <row r="41" spans="1:15" ht="23" x14ac:dyDescent="0.35">
      <c r="A41" s="35">
        <v>6</v>
      </c>
      <c r="B41" s="31" t="s">
        <v>383</v>
      </c>
      <c r="C41" s="32" t="s">
        <v>384</v>
      </c>
      <c r="D41" s="31" t="s">
        <v>428</v>
      </c>
      <c r="E41" s="31" t="s">
        <v>126</v>
      </c>
      <c r="F41" s="31">
        <v>18</v>
      </c>
      <c r="G41" s="31" t="s">
        <v>52</v>
      </c>
      <c r="H41" s="31">
        <v>5</v>
      </c>
      <c r="I41" s="31">
        <v>5.4</v>
      </c>
      <c r="J41" s="32" t="s">
        <v>386</v>
      </c>
      <c r="K41" s="30" t="str">
        <f t="shared" si="6"/>
        <v>Pass</v>
      </c>
      <c r="L41" s="32" t="s">
        <v>387</v>
      </c>
      <c r="M41" s="31" t="s">
        <v>75</v>
      </c>
      <c r="N41" s="33" t="str">
        <f t="shared" si="7"/>
        <v>FAIL</v>
      </c>
      <c r="O41" s="34" t="str">
        <f t="shared" si="8"/>
        <v>Quarantine — do not issue to students</v>
      </c>
    </row>
    <row r="42" spans="1:15" ht="23" x14ac:dyDescent="0.35">
      <c r="A42" s="30">
        <v>7</v>
      </c>
      <c r="B42" s="31" t="s">
        <v>388</v>
      </c>
      <c r="C42" s="32" t="s">
        <v>389</v>
      </c>
      <c r="D42" s="31" t="s">
        <v>429</v>
      </c>
      <c r="E42" s="31" t="s">
        <v>126</v>
      </c>
      <c r="F42" s="31">
        <v>21</v>
      </c>
      <c r="G42" s="31" t="s">
        <v>52</v>
      </c>
      <c r="H42" s="31">
        <v>8</v>
      </c>
      <c r="I42" s="31">
        <v>7.66</v>
      </c>
      <c r="J42" s="32" t="s">
        <v>71</v>
      </c>
      <c r="K42" s="30" t="str">
        <f t="shared" si="6"/>
        <v>Pass</v>
      </c>
      <c r="L42" s="32" t="s">
        <v>391</v>
      </c>
      <c r="M42" s="31" t="s">
        <v>52</v>
      </c>
      <c r="N42" s="33" t="str">
        <f t="shared" si="7"/>
        <v>PASS</v>
      </c>
      <c r="O42" s="34" t="str">
        <f t="shared" si="8"/>
        <v>Release to practicum</v>
      </c>
    </row>
    <row r="43" spans="1:15" ht="23" x14ac:dyDescent="0.35">
      <c r="A43" s="35">
        <v>8</v>
      </c>
      <c r="B43" s="31" t="s">
        <v>392</v>
      </c>
      <c r="C43" s="32" t="s">
        <v>393</v>
      </c>
      <c r="D43" s="31" t="s">
        <v>430</v>
      </c>
      <c r="E43" s="31" t="s">
        <v>126</v>
      </c>
      <c r="F43" s="31">
        <v>21</v>
      </c>
      <c r="G43" s="31" t="s">
        <v>75</v>
      </c>
      <c r="H43" s="31">
        <v>4</v>
      </c>
      <c r="I43" s="31">
        <v>3.81</v>
      </c>
      <c r="J43" s="32" t="s">
        <v>89</v>
      </c>
      <c r="K43" s="30" t="str">
        <f t="shared" si="6"/>
        <v>Fail</v>
      </c>
      <c r="L43" s="32" t="s">
        <v>395</v>
      </c>
      <c r="M43" s="31" t="s">
        <v>52</v>
      </c>
      <c r="N43" s="33" t="str">
        <f t="shared" si="7"/>
        <v>FAIL</v>
      </c>
      <c r="O43" s="34" t="str">
        <f t="shared" si="8"/>
        <v>Quarantine — do not issue to students</v>
      </c>
    </row>
    <row r="44" spans="1:15" x14ac:dyDescent="0.35">
      <c r="A44" s="30">
        <v>9</v>
      </c>
      <c r="B44" s="31" t="s">
        <v>396</v>
      </c>
      <c r="C44" s="32" t="s">
        <v>397</v>
      </c>
      <c r="D44" s="31" t="s">
        <v>431</v>
      </c>
      <c r="E44" s="31" t="s">
        <v>131</v>
      </c>
      <c r="F44" s="31">
        <v>21</v>
      </c>
      <c r="G44" s="31" t="s">
        <v>52</v>
      </c>
      <c r="H44" s="31">
        <v>50</v>
      </c>
      <c r="I44" s="31">
        <v>46.6</v>
      </c>
      <c r="J44" s="32" t="s">
        <v>206</v>
      </c>
      <c r="K44" s="30" t="str">
        <f t="shared" si="6"/>
        <v>Pass</v>
      </c>
      <c r="L44" s="32" t="s">
        <v>207</v>
      </c>
      <c r="M44" s="31" t="s">
        <v>52</v>
      </c>
      <c r="N44" s="33" t="str">
        <f t="shared" si="7"/>
        <v>PASS</v>
      </c>
      <c r="O44" s="34" t="str">
        <f t="shared" si="8"/>
        <v>Release to practicum</v>
      </c>
    </row>
    <row r="45" spans="1:15" x14ac:dyDescent="0.35">
      <c r="A45" s="35">
        <v>10</v>
      </c>
      <c r="B45" s="31" t="s">
        <v>399</v>
      </c>
      <c r="C45" s="32" t="s">
        <v>400</v>
      </c>
      <c r="D45" s="31" t="s">
        <v>432</v>
      </c>
      <c r="E45" s="31" t="s">
        <v>131</v>
      </c>
      <c r="F45" s="31">
        <v>18</v>
      </c>
      <c r="G45" s="31" t="s">
        <v>52</v>
      </c>
      <c r="H45" s="31">
        <v>2</v>
      </c>
      <c r="I45" s="31">
        <v>1.99</v>
      </c>
      <c r="J45" s="32" t="s">
        <v>402</v>
      </c>
      <c r="K45" s="30" t="str">
        <f t="shared" si="6"/>
        <v>Pass</v>
      </c>
      <c r="L45" s="32" t="s">
        <v>403</v>
      </c>
      <c r="M45" s="31" t="s">
        <v>52</v>
      </c>
      <c r="N45" s="33" t="str">
        <f t="shared" si="7"/>
        <v>PASS</v>
      </c>
      <c r="O45" s="34" t="str">
        <f t="shared" si="8"/>
        <v>Release to practicum</v>
      </c>
    </row>
    <row r="46" spans="1:15" x14ac:dyDescent="0.35">
      <c r="A46" s="30">
        <v>11</v>
      </c>
      <c r="B46" s="31" t="s">
        <v>404</v>
      </c>
      <c r="C46" s="32" t="s">
        <v>405</v>
      </c>
      <c r="D46" s="31" t="s">
        <v>433</v>
      </c>
      <c r="E46" s="31" t="s">
        <v>131</v>
      </c>
      <c r="F46" s="31">
        <v>24</v>
      </c>
      <c r="G46" s="31" t="s">
        <v>52</v>
      </c>
      <c r="H46" s="31">
        <v>10</v>
      </c>
      <c r="I46" s="31">
        <v>10.5</v>
      </c>
      <c r="J46" s="32" t="s">
        <v>214</v>
      </c>
      <c r="K46" s="30" t="str">
        <f t="shared" si="6"/>
        <v>Pass</v>
      </c>
      <c r="L46" s="32" t="s">
        <v>407</v>
      </c>
      <c r="M46" s="31" t="s">
        <v>52</v>
      </c>
      <c r="N46" s="33" t="str">
        <f t="shared" si="7"/>
        <v>PASS</v>
      </c>
      <c r="O46" s="34" t="str">
        <f t="shared" si="8"/>
        <v>Release to practicum</v>
      </c>
    </row>
    <row r="47" spans="1:15" x14ac:dyDescent="0.35">
      <c r="A47" s="35">
        <v>12</v>
      </c>
      <c r="B47" s="31" t="s">
        <v>408</v>
      </c>
      <c r="C47" s="32" t="s">
        <v>409</v>
      </c>
      <c r="D47" s="31" t="s">
        <v>434</v>
      </c>
      <c r="E47" s="31" t="s">
        <v>131</v>
      </c>
      <c r="F47" s="31">
        <v>24</v>
      </c>
      <c r="G47" s="31" t="s">
        <v>52</v>
      </c>
      <c r="H47" s="31">
        <v>10</v>
      </c>
      <c r="I47" s="31">
        <v>9.83</v>
      </c>
      <c r="J47" s="32" t="s">
        <v>214</v>
      </c>
      <c r="K47" s="30" t="str">
        <f t="shared" si="6"/>
        <v>Pass</v>
      </c>
      <c r="L47" s="32" t="s">
        <v>407</v>
      </c>
      <c r="M47" s="31" t="s">
        <v>52</v>
      </c>
      <c r="N47" s="33" t="str">
        <f t="shared" si="7"/>
        <v>PASS</v>
      </c>
      <c r="O47" s="34" t="str">
        <f t="shared" si="8"/>
        <v>Release to practicum</v>
      </c>
    </row>
    <row r="49" spans="1:15" ht="15.75" customHeight="1" x14ac:dyDescent="0.35">
      <c r="A49" s="3" t="s">
        <v>135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23" x14ac:dyDescent="0.35">
      <c r="A50" s="30">
        <v>1</v>
      </c>
      <c r="B50" s="31" t="s">
        <v>360</v>
      </c>
      <c r="C50" s="32" t="s">
        <v>361</v>
      </c>
      <c r="D50" s="31" t="s">
        <v>435</v>
      </c>
      <c r="E50" s="31" t="s">
        <v>137</v>
      </c>
      <c r="F50" s="31">
        <v>20</v>
      </c>
      <c r="G50" s="31" t="s">
        <v>75</v>
      </c>
      <c r="H50" s="31">
        <v>3.3</v>
      </c>
      <c r="I50" s="31">
        <v>3.45</v>
      </c>
      <c r="J50" s="32" t="s">
        <v>363</v>
      </c>
      <c r="K50" s="30" t="str">
        <f t="shared" ref="K50:K61" si="9">IF(G50="Fail","Fail",IF(ABS(I50-H50)/IF(H50=0,1,H50)&lt;=0.1,"Pass","Fail"))</f>
        <v>Fail</v>
      </c>
      <c r="L50" s="32" t="s">
        <v>364</v>
      </c>
      <c r="M50" s="31" t="s">
        <v>75</v>
      </c>
      <c r="N50" s="33" t="str">
        <f t="shared" ref="N50:N61" si="10">IF(AND(G50="Pass",K50="Pass",M50="Pass"),"PASS","FAIL")</f>
        <v>FAIL</v>
      </c>
      <c r="O50" s="34" t="str">
        <f t="shared" ref="O50:O61" si="11">IF(N50="PASS","Release to practicum","Quarantine — do not issue to students")</f>
        <v>Quarantine — do not issue to students</v>
      </c>
    </row>
    <row r="51" spans="1:15" x14ac:dyDescent="0.35">
      <c r="A51" s="35">
        <v>2</v>
      </c>
      <c r="B51" s="31" t="s">
        <v>365</v>
      </c>
      <c r="C51" s="32" t="s">
        <v>366</v>
      </c>
      <c r="D51" s="31" t="s">
        <v>436</v>
      </c>
      <c r="E51" s="31" t="s">
        <v>137</v>
      </c>
      <c r="F51" s="31">
        <v>19</v>
      </c>
      <c r="G51" s="31" t="s">
        <v>52</v>
      </c>
      <c r="H51" s="31">
        <v>5</v>
      </c>
      <c r="I51" s="31">
        <v>4.96</v>
      </c>
      <c r="J51" s="32" t="s">
        <v>368</v>
      </c>
      <c r="K51" s="30" t="str">
        <f t="shared" si="9"/>
        <v>Pass</v>
      </c>
      <c r="L51" s="32" t="s">
        <v>369</v>
      </c>
      <c r="M51" s="31" t="s">
        <v>52</v>
      </c>
      <c r="N51" s="33" t="str">
        <f t="shared" si="10"/>
        <v>PASS</v>
      </c>
      <c r="O51" s="34" t="str">
        <f t="shared" si="11"/>
        <v>Release to practicum</v>
      </c>
    </row>
    <row r="52" spans="1:15" x14ac:dyDescent="0.35">
      <c r="A52" s="30">
        <v>3</v>
      </c>
      <c r="B52" s="31" t="s">
        <v>370</v>
      </c>
      <c r="C52" s="32" t="s">
        <v>371</v>
      </c>
      <c r="D52" s="31" t="s">
        <v>437</v>
      </c>
      <c r="E52" s="31" t="s">
        <v>137</v>
      </c>
      <c r="F52" s="31">
        <v>18</v>
      </c>
      <c r="G52" s="31" t="s">
        <v>52</v>
      </c>
      <c r="H52" s="31">
        <v>4</v>
      </c>
      <c r="I52" s="31">
        <v>3.71</v>
      </c>
      <c r="J52" s="32" t="s">
        <v>368</v>
      </c>
      <c r="K52" s="30" t="str">
        <f t="shared" si="9"/>
        <v>Pass</v>
      </c>
      <c r="L52" s="32" t="s">
        <v>373</v>
      </c>
      <c r="M52" s="31" t="s">
        <v>52</v>
      </c>
      <c r="N52" s="33" t="str">
        <f t="shared" si="10"/>
        <v>PASS</v>
      </c>
      <c r="O52" s="34" t="str">
        <f t="shared" si="11"/>
        <v>Release to practicum</v>
      </c>
    </row>
    <row r="53" spans="1:15" x14ac:dyDescent="0.35">
      <c r="A53" s="35">
        <v>4</v>
      </c>
      <c r="B53" s="31" t="s">
        <v>374</v>
      </c>
      <c r="C53" s="32" t="s">
        <v>375</v>
      </c>
      <c r="D53" s="31" t="s">
        <v>438</v>
      </c>
      <c r="E53" s="31" t="s">
        <v>137</v>
      </c>
      <c r="F53" s="31">
        <v>23</v>
      </c>
      <c r="G53" s="31" t="s">
        <v>52</v>
      </c>
      <c r="H53" s="31">
        <v>3.3</v>
      </c>
      <c r="I53" s="31">
        <v>3.49</v>
      </c>
      <c r="J53" s="32" t="s">
        <v>377</v>
      </c>
      <c r="K53" s="30" t="str">
        <f t="shared" si="9"/>
        <v>Pass</v>
      </c>
      <c r="L53" s="32" t="s">
        <v>378</v>
      </c>
      <c r="M53" s="31" t="s">
        <v>52</v>
      </c>
      <c r="N53" s="33" t="str">
        <f t="shared" si="10"/>
        <v>PASS</v>
      </c>
      <c r="O53" s="34" t="str">
        <f t="shared" si="11"/>
        <v>Release to practicum</v>
      </c>
    </row>
    <row r="54" spans="1:15" ht="23" x14ac:dyDescent="0.35">
      <c r="A54" s="30">
        <v>5</v>
      </c>
      <c r="B54" s="31" t="s">
        <v>379</v>
      </c>
      <c r="C54" s="32" t="s">
        <v>380</v>
      </c>
      <c r="D54" s="31" t="s">
        <v>439</v>
      </c>
      <c r="E54" s="31" t="s">
        <v>142</v>
      </c>
      <c r="F54" s="31">
        <v>22</v>
      </c>
      <c r="G54" s="31" t="s">
        <v>52</v>
      </c>
      <c r="H54" s="31">
        <v>5</v>
      </c>
      <c r="I54" s="31">
        <v>5.57</v>
      </c>
      <c r="J54" s="32" t="s">
        <v>363</v>
      </c>
      <c r="K54" s="30" t="str">
        <f t="shared" si="9"/>
        <v>Fail</v>
      </c>
      <c r="L54" s="32" t="s">
        <v>382</v>
      </c>
      <c r="M54" s="31" t="s">
        <v>52</v>
      </c>
      <c r="N54" s="33" t="str">
        <f t="shared" si="10"/>
        <v>FAIL</v>
      </c>
      <c r="O54" s="34" t="str">
        <f t="shared" si="11"/>
        <v>Quarantine — do not issue to students</v>
      </c>
    </row>
    <row r="55" spans="1:15" ht="23" x14ac:dyDescent="0.35">
      <c r="A55" s="35">
        <v>6</v>
      </c>
      <c r="B55" s="31" t="s">
        <v>383</v>
      </c>
      <c r="C55" s="32" t="s">
        <v>384</v>
      </c>
      <c r="D55" s="31" t="s">
        <v>440</v>
      </c>
      <c r="E55" s="31" t="s">
        <v>142</v>
      </c>
      <c r="F55" s="31">
        <v>19</v>
      </c>
      <c r="G55" s="31" t="s">
        <v>52</v>
      </c>
      <c r="H55" s="31">
        <v>5</v>
      </c>
      <c r="I55" s="31">
        <v>5.57</v>
      </c>
      <c r="J55" s="32" t="s">
        <v>386</v>
      </c>
      <c r="K55" s="30" t="str">
        <f t="shared" si="9"/>
        <v>Fail</v>
      </c>
      <c r="L55" s="32" t="s">
        <v>387</v>
      </c>
      <c r="M55" s="31" t="s">
        <v>52</v>
      </c>
      <c r="N55" s="33" t="str">
        <f t="shared" si="10"/>
        <v>FAIL</v>
      </c>
      <c r="O55" s="34" t="str">
        <f t="shared" si="11"/>
        <v>Quarantine — do not issue to students</v>
      </c>
    </row>
    <row r="56" spans="1:15" ht="23" x14ac:dyDescent="0.35">
      <c r="A56" s="30">
        <v>7</v>
      </c>
      <c r="B56" s="31" t="s">
        <v>388</v>
      </c>
      <c r="C56" s="32" t="s">
        <v>389</v>
      </c>
      <c r="D56" s="31" t="s">
        <v>441</v>
      </c>
      <c r="E56" s="31" t="s">
        <v>142</v>
      </c>
      <c r="F56" s="31">
        <v>23</v>
      </c>
      <c r="G56" s="31" t="s">
        <v>52</v>
      </c>
      <c r="H56" s="31">
        <v>8</v>
      </c>
      <c r="I56" s="31">
        <v>7.94</v>
      </c>
      <c r="J56" s="32" t="s">
        <v>71</v>
      </c>
      <c r="K56" s="30" t="str">
        <f t="shared" si="9"/>
        <v>Pass</v>
      </c>
      <c r="L56" s="32" t="s">
        <v>391</v>
      </c>
      <c r="M56" s="31" t="s">
        <v>52</v>
      </c>
      <c r="N56" s="33" t="str">
        <f t="shared" si="10"/>
        <v>PASS</v>
      </c>
      <c r="O56" s="34" t="str">
        <f t="shared" si="11"/>
        <v>Release to practicum</v>
      </c>
    </row>
    <row r="57" spans="1:15" x14ac:dyDescent="0.35">
      <c r="A57" s="35">
        <v>8</v>
      </c>
      <c r="B57" s="31" t="s">
        <v>392</v>
      </c>
      <c r="C57" s="32" t="s">
        <v>393</v>
      </c>
      <c r="D57" s="31" t="s">
        <v>442</v>
      </c>
      <c r="E57" s="31" t="s">
        <v>142</v>
      </c>
      <c r="F57" s="31">
        <v>25</v>
      </c>
      <c r="G57" s="31" t="s">
        <v>52</v>
      </c>
      <c r="H57" s="31">
        <v>4</v>
      </c>
      <c r="I57" s="31">
        <v>3.61</v>
      </c>
      <c r="J57" s="32" t="s">
        <v>89</v>
      </c>
      <c r="K57" s="30" t="str">
        <f t="shared" si="9"/>
        <v>Pass</v>
      </c>
      <c r="L57" s="32" t="s">
        <v>395</v>
      </c>
      <c r="M57" s="31" t="s">
        <v>52</v>
      </c>
      <c r="N57" s="33" t="str">
        <f t="shared" si="10"/>
        <v>PASS</v>
      </c>
      <c r="O57" s="34" t="str">
        <f t="shared" si="11"/>
        <v>Release to practicum</v>
      </c>
    </row>
    <row r="58" spans="1:15" x14ac:dyDescent="0.35">
      <c r="A58" s="30">
        <v>9</v>
      </c>
      <c r="B58" s="31" t="s">
        <v>396</v>
      </c>
      <c r="C58" s="32" t="s">
        <v>397</v>
      </c>
      <c r="D58" s="31" t="s">
        <v>443</v>
      </c>
      <c r="E58" s="31" t="s">
        <v>147</v>
      </c>
      <c r="F58" s="31">
        <v>23</v>
      </c>
      <c r="G58" s="31" t="s">
        <v>52</v>
      </c>
      <c r="H58" s="31">
        <v>50</v>
      </c>
      <c r="I58" s="31">
        <v>45.03</v>
      </c>
      <c r="J58" s="32" t="s">
        <v>206</v>
      </c>
      <c r="K58" s="30" t="str">
        <f t="shared" si="9"/>
        <v>Pass</v>
      </c>
      <c r="L58" s="32" t="s">
        <v>207</v>
      </c>
      <c r="M58" s="31" t="s">
        <v>52</v>
      </c>
      <c r="N58" s="33" t="str">
        <f t="shared" si="10"/>
        <v>PASS</v>
      </c>
      <c r="O58" s="34" t="str">
        <f t="shared" si="11"/>
        <v>Release to practicum</v>
      </c>
    </row>
    <row r="59" spans="1:15" ht="23" x14ac:dyDescent="0.35">
      <c r="A59" s="35">
        <v>10</v>
      </c>
      <c r="B59" s="31" t="s">
        <v>399</v>
      </c>
      <c r="C59" s="32" t="s">
        <v>400</v>
      </c>
      <c r="D59" s="31" t="s">
        <v>444</v>
      </c>
      <c r="E59" s="31" t="s">
        <v>147</v>
      </c>
      <c r="F59" s="31">
        <v>18</v>
      </c>
      <c r="G59" s="31" t="s">
        <v>52</v>
      </c>
      <c r="H59" s="31">
        <v>2</v>
      </c>
      <c r="I59" s="31">
        <v>1.77</v>
      </c>
      <c r="J59" s="32" t="s">
        <v>402</v>
      </c>
      <c r="K59" s="30" t="str">
        <f t="shared" si="9"/>
        <v>Fail</v>
      </c>
      <c r="L59" s="32" t="s">
        <v>403</v>
      </c>
      <c r="M59" s="31" t="s">
        <v>52</v>
      </c>
      <c r="N59" s="33" t="str">
        <f t="shared" si="10"/>
        <v>FAIL</v>
      </c>
      <c r="O59" s="34" t="str">
        <f t="shared" si="11"/>
        <v>Quarantine — do not issue to students</v>
      </c>
    </row>
    <row r="60" spans="1:15" x14ac:dyDescent="0.35">
      <c r="A60" s="30">
        <v>11</v>
      </c>
      <c r="B60" s="31" t="s">
        <v>404</v>
      </c>
      <c r="C60" s="32" t="s">
        <v>405</v>
      </c>
      <c r="D60" s="31" t="s">
        <v>445</v>
      </c>
      <c r="E60" s="31" t="s">
        <v>147</v>
      </c>
      <c r="F60" s="31">
        <v>21</v>
      </c>
      <c r="G60" s="31" t="s">
        <v>52</v>
      </c>
      <c r="H60" s="31">
        <v>10</v>
      </c>
      <c r="I60" s="31">
        <v>10.38</v>
      </c>
      <c r="J60" s="32" t="s">
        <v>214</v>
      </c>
      <c r="K60" s="30" t="str">
        <f t="shared" si="9"/>
        <v>Pass</v>
      </c>
      <c r="L60" s="32" t="s">
        <v>407</v>
      </c>
      <c r="M60" s="31" t="s">
        <v>52</v>
      </c>
      <c r="N60" s="33" t="str">
        <f t="shared" si="10"/>
        <v>PASS</v>
      </c>
      <c r="O60" s="34" t="str">
        <f t="shared" si="11"/>
        <v>Release to practicum</v>
      </c>
    </row>
    <row r="61" spans="1:15" ht="23" x14ac:dyDescent="0.35">
      <c r="A61" s="35">
        <v>12</v>
      </c>
      <c r="B61" s="31" t="s">
        <v>408</v>
      </c>
      <c r="C61" s="32" t="s">
        <v>409</v>
      </c>
      <c r="D61" s="31" t="s">
        <v>446</v>
      </c>
      <c r="E61" s="31" t="s">
        <v>147</v>
      </c>
      <c r="F61" s="31">
        <v>19</v>
      </c>
      <c r="G61" s="31" t="s">
        <v>75</v>
      </c>
      <c r="H61" s="31">
        <v>10</v>
      </c>
      <c r="I61" s="31">
        <v>8.81</v>
      </c>
      <c r="J61" s="32" t="s">
        <v>214</v>
      </c>
      <c r="K61" s="30" t="str">
        <f t="shared" si="9"/>
        <v>Fail</v>
      </c>
      <c r="L61" s="32" t="s">
        <v>407</v>
      </c>
      <c r="M61" s="31" t="s">
        <v>75</v>
      </c>
      <c r="N61" s="33" t="str">
        <f t="shared" si="10"/>
        <v>FAIL</v>
      </c>
      <c r="O61" s="34" t="str">
        <f t="shared" si="11"/>
        <v>Quarantine — do not issue to students</v>
      </c>
    </row>
    <row r="64" spans="1:15" ht="15" customHeight="1" x14ac:dyDescent="0.35">
      <c r="A64" s="59" t="s">
        <v>150</v>
      </c>
      <c r="B64" s="59"/>
      <c r="C64" s="59"/>
      <c r="D64" s="59"/>
      <c r="E64" s="59"/>
      <c r="F64" s="59"/>
    </row>
    <row r="65" spans="1:15" ht="15" customHeight="1" x14ac:dyDescent="0.35">
      <c r="A65" s="9" t="s">
        <v>151</v>
      </c>
      <c r="B65" s="9"/>
      <c r="C65" s="9"/>
      <c r="D65" s="9"/>
      <c r="E65" s="9"/>
      <c r="F65" s="9"/>
      <c r="G65" s="18" t="s">
        <v>152</v>
      </c>
      <c r="H65" s="18" t="s">
        <v>153</v>
      </c>
      <c r="I65" s="18" t="s">
        <v>154</v>
      </c>
      <c r="J65" s="18" t="s">
        <v>155</v>
      </c>
      <c r="K65" s="18" t="s">
        <v>156</v>
      </c>
    </row>
    <row r="66" spans="1:15" ht="15" customHeight="1" x14ac:dyDescent="0.35">
      <c r="H66" s="37">
        <f>COUNTA(B8:B61)</f>
        <v>48</v>
      </c>
      <c r="I66" s="37">
        <f>COUNTIF(N8:N61,"PASS")</f>
        <v>30</v>
      </c>
      <c r="J66" s="37">
        <f>COUNTIF(N8:N61,"FAIL")</f>
        <v>18</v>
      </c>
      <c r="K66" s="38">
        <f>IFERROR(I66/H66,0)</f>
        <v>0.625</v>
      </c>
    </row>
    <row r="67" spans="1:15" ht="6" customHeight="1" x14ac:dyDescent="0.35"/>
    <row r="68" spans="1:15" ht="18" customHeight="1" x14ac:dyDescent="0.35">
      <c r="A68" s="66" t="s">
        <v>447</v>
      </c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</row>
    <row r="69" spans="1:15" ht="18" customHeight="1" x14ac:dyDescent="0.35">
      <c r="A69" s="27" t="s">
        <v>13</v>
      </c>
      <c r="B69" s="2" t="s">
        <v>14</v>
      </c>
      <c r="C69" s="2"/>
      <c r="D69" s="2"/>
      <c r="E69" s="2"/>
      <c r="F69" s="2"/>
      <c r="G69" s="2"/>
      <c r="H69" s="1"/>
      <c r="I69" s="1"/>
      <c r="J69" s="1"/>
      <c r="K69" s="1"/>
      <c r="L69" s="1"/>
      <c r="M69" s="1"/>
      <c r="N69" s="1"/>
      <c r="O69" s="1"/>
    </row>
    <row r="70" spans="1:15" ht="29" customHeight="1" x14ac:dyDescent="0.35">
      <c r="A70" s="28" t="s">
        <v>158</v>
      </c>
      <c r="B70" s="50" t="s">
        <v>159</v>
      </c>
      <c r="C70" s="50"/>
      <c r="D70" s="50"/>
      <c r="E70" s="50"/>
      <c r="F70" s="50"/>
      <c r="G70" s="50"/>
      <c r="H70" s="51" t="s">
        <v>160</v>
      </c>
      <c r="I70" s="51"/>
      <c r="J70" s="51"/>
      <c r="K70" s="51"/>
      <c r="L70" s="51"/>
      <c r="M70" s="51"/>
      <c r="N70" s="51"/>
      <c r="O70" s="51"/>
    </row>
    <row r="71" spans="1:15" ht="23" customHeight="1" x14ac:dyDescent="0.35">
      <c r="A71" s="29" t="s">
        <v>161</v>
      </c>
      <c r="B71" s="52" t="s">
        <v>162</v>
      </c>
      <c r="C71" s="52"/>
      <c r="D71" s="52"/>
      <c r="E71" s="52"/>
      <c r="F71" s="52"/>
      <c r="G71" s="52"/>
      <c r="H71" s="53" t="s">
        <v>163</v>
      </c>
      <c r="I71" s="53"/>
      <c r="J71" s="53"/>
      <c r="K71" s="53"/>
      <c r="L71" s="53"/>
      <c r="M71" s="53"/>
      <c r="N71" s="53"/>
      <c r="O71" s="53"/>
    </row>
    <row r="72" spans="1:15" ht="23" customHeight="1" x14ac:dyDescent="0.35">
      <c r="A72" s="28" t="s">
        <v>164</v>
      </c>
      <c r="B72" s="50" t="s">
        <v>165</v>
      </c>
      <c r="C72" s="50"/>
      <c r="D72" s="50"/>
      <c r="E72" s="50"/>
      <c r="F72" s="50"/>
      <c r="G72" s="50"/>
      <c r="H72" s="51" t="s">
        <v>166</v>
      </c>
      <c r="I72" s="51"/>
      <c r="J72" s="51"/>
      <c r="K72" s="51"/>
      <c r="L72" s="51"/>
      <c r="M72" s="51"/>
      <c r="N72" s="51"/>
      <c r="O72" s="51"/>
    </row>
    <row r="73" spans="1:15" ht="24.5" customHeight="1" x14ac:dyDescent="0.35">
      <c r="A73" s="29" t="s">
        <v>167</v>
      </c>
      <c r="B73" s="52" t="s">
        <v>168</v>
      </c>
      <c r="C73" s="52"/>
      <c r="D73" s="52"/>
      <c r="E73" s="52"/>
      <c r="F73" s="52"/>
      <c r="G73" s="52"/>
      <c r="H73" s="53" t="s">
        <v>169</v>
      </c>
      <c r="I73" s="53"/>
      <c r="J73" s="53"/>
      <c r="K73" s="53"/>
      <c r="L73" s="53"/>
      <c r="M73" s="53"/>
      <c r="N73" s="53"/>
      <c r="O73" s="53"/>
    </row>
    <row r="74" spans="1:15" ht="25.5" customHeight="1" x14ac:dyDescent="0.35">
      <c r="A74" s="28" t="s">
        <v>170</v>
      </c>
      <c r="B74" s="50" t="s">
        <v>171</v>
      </c>
      <c r="C74" s="50"/>
      <c r="D74" s="50"/>
      <c r="E74" s="50"/>
      <c r="F74" s="50"/>
      <c r="G74" s="50"/>
      <c r="H74" s="51" t="s">
        <v>172</v>
      </c>
      <c r="I74" s="51"/>
      <c r="J74" s="51"/>
      <c r="K74" s="51"/>
      <c r="L74" s="51"/>
      <c r="M74" s="51"/>
      <c r="N74" s="51"/>
      <c r="O74" s="51"/>
    </row>
    <row r="75" spans="1:15" ht="23" customHeight="1" x14ac:dyDescent="0.35">
      <c r="A75" s="29" t="s">
        <v>173</v>
      </c>
      <c r="B75" s="52" t="s">
        <v>171</v>
      </c>
      <c r="C75" s="52"/>
      <c r="D75" s="52"/>
      <c r="E75" s="52"/>
      <c r="F75" s="52"/>
      <c r="G75" s="52"/>
      <c r="H75" s="53" t="s">
        <v>174</v>
      </c>
      <c r="I75" s="53"/>
      <c r="J75" s="53"/>
      <c r="K75" s="53"/>
      <c r="L75" s="53"/>
      <c r="M75" s="53"/>
      <c r="N75" s="53"/>
      <c r="O75" s="53"/>
    </row>
    <row r="76" spans="1:15" ht="22" customHeight="1" x14ac:dyDescent="0.35">
      <c r="A76" s="28" t="s">
        <v>175</v>
      </c>
      <c r="B76" s="50" t="s">
        <v>168</v>
      </c>
      <c r="C76" s="50"/>
      <c r="D76" s="50"/>
      <c r="E76" s="50"/>
      <c r="F76" s="50"/>
      <c r="G76" s="50"/>
      <c r="H76" s="51" t="s">
        <v>176</v>
      </c>
      <c r="I76" s="51"/>
      <c r="J76" s="51"/>
      <c r="K76" s="51"/>
      <c r="L76" s="51"/>
      <c r="M76" s="51"/>
      <c r="N76" s="51"/>
      <c r="O76" s="51"/>
    </row>
    <row r="77" spans="1:15" ht="15.75" customHeight="1" x14ac:dyDescent="0.35">
      <c r="A77" s="54" t="s">
        <v>177</v>
      </c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</row>
  </sheetData>
  <mergeCells count="28">
    <mergeCell ref="A77:O77"/>
    <mergeCell ref="B74:G74"/>
    <mergeCell ref="H74:O74"/>
    <mergeCell ref="B75:G75"/>
    <mergeCell ref="H75:O75"/>
    <mergeCell ref="B76:G76"/>
    <mergeCell ref="H76:O76"/>
    <mergeCell ref="B71:G71"/>
    <mergeCell ref="H71:O71"/>
    <mergeCell ref="B72:G72"/>
    <mergeCell ref="H72:O72"/>
    <mergeCell ref="B73:G73"/>
    <mergeCell ref="H73:O73"/>
    <mergeCell ref="A68:O68"/>
    <mergeCell ref="B69:G69"/>
    <mergeCell ref="H69:O69"/>
    <mergeCell ref="B70:G70"/>
    <mergeCell ref="H70:O70"/>
    <mergeCell ref="A21:O21"/>
    <mergeCell ref="A35:O35"/>
    <mergeCell ref="A49:O49"/>
    <mergeCell ref="A64:F64"/>
    <mergeCell ref="A65:F65"/>
    <mergeCell ref="A1:O1"/>
    <mergeCell ref="A2:O2"/>
    <mergeCell ref="A3:O3"/>
    <mergeCell ref="A6:O6"/>
    <mergeCell ref="A7:O7"/>
  </mergeCells>
  <conditionalFormatting sqref="G8:G61">
    <cfRule type="cellIs" dxfId="9" priority="2" operator="equal">
      <formula>"Pass"</formula>
    </cfRule>
    <cfRule type="cellIs" dxfId="8" priority="3" operator="equal">
      <formula>"Fail"</formula>
    </cfRule>
  </conditionalFormatting>
  <conditionalFormatting sqref="K8:K61">
    <cfRule type="cellIs" dxfId="7" priority="4" operator="equal">
      <formula>"Pass"</formula>
    </cfRule>
    <cfRule type="cellIs" dxfId="6" priority="5" operator="equal">
      <formula>"Fail"</formula>
    </cfRule>
  </conditionalFormatting>
  <conditionalFormatting sqref="M8:M61">
    <cfRule type="cellIs" dxfId="5" priority="6" operator="equal">
      <formula>"Pass"</formula>
    </cfRule>
    <cfRule type="cellIs" dxfId="4" priority="7" operator="equal">
      <formula>"Fail"</formula>
    </cfRule>
  </conditionalFormatting>
  <conditionalFormatting sqref="N8:N61">
    <cfRule type="cellIs" dxfId="3" priority="8" operator="equal">
      <formula>"PASS"</formula>
    </cfRule>
    <cfRule type="cellIs" dxfId="2" priority="9" operator="equal">
      <formula>"FAIL"</formula>
    </cfRule>
  </conditionalFormatting>
  <pageMargins left="0.4" right="0.4" top="0.5" bottom="0.5" header="0.3" footer="0.3"/>
  <pageSetup paperSize="9" orientation="landscape" r:id="rId1"/>
  <headerFooter>
    <oddHeader>&amp;C&amp;9 Jar_Komunikasi</oddHeader>
    <oddFooter>&amp;L&amp;8 Lab Sensor Sistem Telekontrol — DTNTF UGM | Component QC Log&amp;R&amp;8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"/>
  <sheetViews>
    <sheetView showGridLines="0" zoomScale="80" zoomScaleNormal="80" workbookViewId="0">
      <selection sqref="A1:L1"/>
    </sheetView>
  </sheetViews>
  <sheetFormatPr defaultColWidth="8.6328125" defaultRowHeight="14.5" x14ac:dyDescent="0.35"/>
  <cols>
    <col min="1" max="1" width="5" customWidth="1"/>
    <col min="2" max="2" width="14" customWidth="1"/>
    <col min="3" max="3" width="11.7265625" bestFit="1" customWidth="1"/>
    <col min="4" max="4" width="13.81640625" bestFit="1" customWidth="1"/>
    <col min="5" max="5" width="11.90625" bestFit="1" customWidth="1"/>
    <col min="6" max="6" width="13.453125" bestFit="1" customWidth="1"/>
    <col min="7" max="7" width="16.1796875" bestFit="1" customWidth="1"/>
    <col min="8" max="8" width="21.453125" bestFit="1" customWidth="1"/>
    <col min="9" max="9" width="24.08984375" bestFit="1" customWidth="1"/>
    <col min="10" max="10" width="7.36328125" bestFit="1" customWidth="1"/>
    <col min="11" max="11" width="9.90625" bestFit="1" customWidth="1"/>
    <col min="12" max="12" width="18.6328125" bestFit="1" customWidth="1"/>
  </cols>
  <sheetData>
    <row r="1" spans="1:12" ht="27.75" customHeight="1" x14ac:dyDescent="0.35">
      <c r="A1" s="67" t="s">
        <v>448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 ht="18" customHeight="1" x14ac:dyDescent="0.35">
      <c r="A2" s="56" t="s">
        <v>449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ht="3.75" customHeight="1" x14ac:dyDescent="0.35"/>
    <row r="4" spans="1:12" ht="36" customHeight="1" x14ac:dyDescent="0.35">
      <c r="A4" s="39" t="s">
        <v>31</v>
      </c>
      <c r="B4" s="39" t="s">
        <v>450</v>
      </c>
      <c r="C4" s="39" t="s">
        <v>32</v>
      </c>
      <c r="D4" s="39" t="s">
        <v>451</v>
      </c>
      <c r="E4" s="39" t="s">
        <v>3</v>
      </c>
      <c r="F4" s="39" t="s">
        <v>452</v>
      </c>
      <c r="G4" s="39" t="s">
        <v>453</v>
      </c>
      <c r="H4" s="39" t="s">
        <v>454</v>
      </c>
      <c r="I4" s="39" t="s">
        <v>455</v>
      </c>
      <c r="J4" s="39" t="s">
        <v>456</v>
      </c>
      <c r="K4" s="39" t="s">
        <v>457</v>
      </c>
      <c r="L4" s="39" t="s">
        <v>458</v>
      </c>
    </row>
    <row r="5" spans="1:12" ht="27.75" customHeight="1" x14ac:dyDescent="0.35">
      <c r="A5" s="35">
        <v>1</v>
      </c>
      <c r="B5" s="35" t="s">
        <v>459</v>
      </c>
      <c r="C5" s="35" t="s">
        <v>48</v>
      </c>
      <c r="D5" s="35" t="s">
        <v>49</v>
      </c>
      <c r="E5" s="35" t="s">
        <v>460</v>
      </c>
      <c r="F5" s="35" t="s">
        <v>461</v>
      </c>
      <c r="G5" s="40" t="s">
        <v>462</v>
      </c>
      <c r="H5" s="40" t="s">
        <v>463</v>
      </c>
      <c r="I5" s="40" t="s">
        <v>464</v>
      </c>
      <c r="J5" s="35" t="s">
        <v>465</v>
      </c>
      <c r="K5" s="41" t="s">
        <v>466</v>
      </c>
      <c r="L5" s="40" t="s">
        <v>467</v>
      </c>
    </row>
    <row r="6" spans="1:12" ht="27.75" customHeight="1" x14ac:dyDescent="0.35">
      <c r="A6" s="30">
        <v>2</v>
      </c>
      <c r="B6" s="30" t="s">
        <v>468</v>
      </c>
      <c r="C6" s="30" t="s">
        <v>180</v>
      </c>
      <c r="D6" s="30" t="s">
        <v>469</v>
      </c>
      <c r="E6" s="30" t="s">
        <v>470</v>
      </c>
      <c r="F6" s="30" t="s">
        <v>471</v>
      </c>
      <c r="G6" s="34" t="s">
        <v>184</v>
      </c>
      <c r="H6" s="34" t="s">
        <v>472</v>
      </c>
      <c r="I6" s="34" t="s">
        <v>473</v>
      </c>
      <c r="J6" s="30" t="s">
        <v>465</v>
      </c>
      <c r="K6" s="41" t="s">
        <v>466</v>
      </c>
      <c r="L6" s="34" t="s">
        <v>474</v>
      </c>
    </row>
    <row r="7" spans="1:12" ht="27.75" customHeight="1" x14ac:dyDescent="0.35">
      <c r="A7" s="35">
        <v>3</v>
      </c>
      <c r="B7" s="35" t="s">
        <v>475</v>
      </c>
      <c r="C7" s="35" t="s">
        <v>266</v>
      </c>
      <c r="D7" s="35" t="s">
        <v>267</v>
      </c>
      <c r="E7" s="35" t="s">
        <v>476</v>
      </c>
      <c r="F7" s="35" t="s">
        <v>477</v>
      </c>
      <c r="G7" s="40" t="s">
        <v>478</v>
      </c>
      <c r="H7" s="40" t="s">
        <v>479</v>
      </c>
      <c r="I7" s="40" t="s">
        <v>480</v>
      </c>
      <c r="J7" s="35" t="s">
        <v>465</v>
      </c>
      <c r="K7" s="41" t="s">
        <v>466</v>
      </c>
      <c r="L7" s="40" t="s">
        <v>474</v>
      </c>
    </row>
    <row r="8" spans="1:12" ht="27.75" customHeight="1" x14ac:dyDescent="0.35">
      <c r="A8" s="30">
        <v>4</v>
      </c>
      <c r="B8" s="30" t="s">
        <v>481</v>
      </c>
      <c r="C8" s="30" t="s">
        <v>365</v>
      </c>
      <c r="D8" s="30" t="s">
        <v>366</v>
      </c>
      <c r="E8" s="30" t="s">
        <v>482</v>
      </c>
      <c r="F8" s="30" t="s">
        <v>483</v>
      </c>
      <c r="G8" s="34" t="s">
        <v>368</v>
      </c>
      <c r="H8" s="34" t="s">
        <v>484</v>
      </c>
      <c r="I8" s="34" t="s">
        <v>485</v>
      </c>
      <c r="J8" s="30" t="s">
        <v>465</v>
      </c>
      <c r="K8" s="42" t="s">
        <v>486</v>
      </c>
      <c r="L8" s="34" t="s">
        <v>487</v>
      </c>
    </row>
    <row r="9" spans="1:12" ht="27.75" customHeight="1" x14ac:dyDescent="0.35">
      <c r="A9" s="35">
        <v>5</v>
      </c>
      <c r="B9" s="35" t="s">
        <v>488</v>
      </c>
      <c r="C9" s="35" t="s">
        <v>203</v>
      </c>
      <c r="D9" s="35" t="s">
        <v>489</v>
      </c>
      <c r="E9" s="35" t="s">
        <v>470</v>
      </c>
      <c r="F9" s="35" t="s">
        <v>490</v>
      </c>
      <c r="G9" s="40" t="s">
        <v>207</v>
      </c>
      <c r="H9" s="40" t="s">
        <v>491</v>
      </c>
      <c r="I9" s="40" t="s">
        <v>492</v>
      </c>
      <c r="J9" s="35" t="s">
        <v>465</v>
      </c>
      <c r="K9" s="43" t="s">
        <v>493</v>
      </c>
      <c r="L9" s="40" t="s">
        <v>494</v>
      </c>
    </row>
    <row r="10" spans="1:12" ht="27.75" customHeight="1" x14ac:dyDescent="0.35">
      <c r="A10" s="30">
        <v>6</v>
      </c>
      <c r="B10" s="30" t="s">
        <v>495</v>
      </c>
      <c r="C10" s="30" t="s">
        <v>58</v>
      </c>
      <c r="D10" s="30" t="s">
        <v>59</v>
      </c>
      <c r="E10" s="30" t="s">
        <v>460</v>
      </c>
      <c r="F10" s="30" t="s">
        <v>496</v>
      </c>
      <c r="G10" s="34" t="s">
        <v>62</v>
      </c>
      <c r="H10" s="34" t="s">
        <v>497</v>
      </c>
      <c r="I10" s="34" t="s">
        <v>498</v>
      </c>
      <c r="J10" s="30" t="s">
        <v>465</v>
      </c>
      <c r="K10" s="41" t="s">
        <v>466</v>
      </c>
      <c r="L10" s="34" t="s">
        <v>474</v>
      </c>
    </row>
    <row r="11" spans="1:12" ht="27.75" customHeight="1" x14ac:dyDescent="0.35">
      <c r="A11" s="35">
        <v>7</v>
      </c>
      <c r="B11" s="35" t="s">
        <v>499</v>
      </c>
      <c r="C11" s="35" t="s">
        <v>500</v>
      </c>
      <c r="D11" s="35" t="s">
        <v>501</v>
      </c>
      <c r="E11" s="35" t="s">
        <v>476</v>
      </c>
      <c r="F11" s="35" t="s">
        <v>502</v>
      </c>
      <c r="G11" s="40" t="s">
        <v>294</v>
      </c>
      <c r="H11" s="40" t="s">
        <v>503</v>
      </c>
      <c r="I11" s="40" t="s">
        <v>504</v>
      </c>
      <c r="J11" s="35" t="s">
        <v>465</v>
      </c>
      <c r="K11" s="41" t="s">
        <v>466</v>
      </c>
      <c r="L11" s="40" t="s">
        <v>474</v>
      </c>
    </row>
    <row r="12" spans="1:12" ht="27.75" customHeight="1" x14ac:dyDescent="0.35">
      <c r="A12" s="30">
        <v>8</v>
      </c>
      <c r="B12" s="30" t="s">
        <v>505</v>
      </c>
      <c r="C12" s="30" t="s">
        <v>216</v>
      </c>
      <c r="D12" s="30" t="s">
        <v>217</v>
      </c>
      <c r="E12" s="30" t="s">
        <v>470</v>
      </c>
      <c r="F12" s="30" t="s">
        <v>506</v>
      </c>
      <c r="G12" s="34" t="s">
        <v>215</v>
      </c>
      <c r="H12" s="34" t="s">
        <v>507</v>
      </c>
      <c r="I12" s="34" t="s">
        <v>508</v>
      </c>
      <c r="J12" s="30" t="s">
        <v>465</v>
      </c>
      <c r="K12" s="43" t="s">
        <v>493</v>
      </c>
      <c r="L12" s="34" t="s">
        <v>509</v>
      </c>
    </row>
    <row r="14" spans="1:12" ht="15" customHeight="1" x14ac:dyDescent="0.35">
      <c r="A14" s="59" t="s">
        <v>510</v>
      </c>
      <c r="B14" s="59"/>
      <c r="C14" s="59"/>
      <c r="D14" s="59"/>
      <c r="E14" s="15" t="s">
        <v>511</v>
      </c>
      <c r="F14" s="15" t="s">
        <v>466</v>
      </c>
      <c r="G14" s="15" t="s">
        <v>486</v>
      </c>
      <c r="H14" s="15" t="s">
        <v>493</v>
      </c>
      <c r="I14" s="15" t="s">
        <v>512</v>
      </c>
    </row>
    <row r="15" spans="1:12" ht="15" customHeight="1" x14ac:dyDescent="0.35">
      <c r="E15" s="33">
        <f>COUNTA(C5:C12)</f>
        <v>8</v>
      </c>
      <c r="F15" s="33">
        <f>COUNTIF(K5:K12,"Closed")</f>
        <v>5</v>
      </c>
      <c r="G15" s="33">
        <f>COUNTIF(K5:K12,"In Progress")</f>
        <v>1</v>
      </c>
      <c r="H15" s="33">
        <f>COUNTIF(K5:K12,"Open")</f>
        <v>2</v>
      </c>
      <c r="I15" s="44">
        <f>IFERROR(F14/E14,0)</f>
        <v>0</v>
      </c>
    </row>
  </sheetData>
  <mergeCells count="3">
    <mergeCell ref="A1:L1"/>
    <mergeCell ref="A2:L2"/>
    <mergeCell ref="A14:D14"/>
  </mergeCells>
  <pageMargins left="0.4" right="0.4" top="0.5" bottom="0.5" header="0.3" footer="0.3"/>
  <pageSetup paperSize="9" orientation="landscape" r:id="rId1"/>
  <headerFooter>
    <oddHeader>&amp;C&amp;9 Defect Log</oddHeader>
    <oddFooter>&amp;L&amp;8 Lab Sensor Sistem Telekontrol — DTNTF UGM | Component QC Log&amp;R&amp;8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76"/>
  <sheetViews>
    <sheetView showGridLines="0" tabSelected="1" topLeftCell="A83" zoomScale="70" zoomScaleNormal="70" workbookViewId="0">
      <selection activeCell="O109" sqref="O109"/>
    </sheetView>
  </sheetViews>
  <sheetFormatPr defaultColWidth="8.6328125" defaultRowHeight="14.5" x14ac:dyDescent="0.35"/>
  <cols>
    <col min="1" max="1" width="28" customWidth="1"/>
    <col min="2" max="3" width="20.453125" bestFit="1" customWidth="1"/>
    <col min="4" max="4" width="9.54296875" bestFit="1" customWidth="1"/>
    <col min="5" max="5" width="11.90625" bestFit="1" customWidth="1"/>
    <col min="6" max="6" width="7.7265625" bestFit="1" customWidth="1"/>
    <col min="7" max="7" width="8.26953125" bestFit="1" customWidth="1"/>
    <col min="8" max="8" width="24" customWidth="1"/>
    <col min="9" max="9" width="7" bestFit="1" customWidth="1"/>
    <col min="10" max="10" width="12" bestFit="1" customWidth="1"/>
    <col min="11" max="12" width="12" customWidth="1"/>
    <col min="13" max="13" width="2" customWidth="1"/>
    <col min="14" max="14" width="24" customWidth="1"/>
    <col min="15" max="15" width="10" customWidth="1"/>
    <col min="16" max="16" width="11" customWidth="1"/>
    <col min="17" max="18" width="12" customWidth="1"/>
  </cols>
  <sheetData>
    <row r="1" spans="1:18" ht="27.75" customHeight="1" x14ac:dyDescent="0.35">
      <c r="A1" s="14" t="s">
        <v>513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5.75" customHeight="1" x14ac:dyDescent="0.35">
      <c r="A2" s="58" t="s">
        <v>514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</row>
    <row r="3" spans="1:18" ht="21.75" customHeight="1" x14ac:dyDescent="0.35">
      <c r="B3" s="68" t="s">
        <v>515</v>
      </c>
      <c r="C3" s="68"/>
      <c r="D3" s="68"/>
      <c r="E3" s="68"/>
      <c r="F3" s="68"/>
      <c r="H3" s="69" t="s">
        <v>516</v>
      </c>
      <c r="I3" s="69"/>
      <c r="J3" s="69"/>
      <c r="K3" s="69"/>
      <c r="L3" s="69"/>
    </row>
    <row r="4" spans="1:18" ht="27.75" customHeight="1" x14ac:dyDescent="0.35">
      <c r="B4" s="36" t="s">
        <v>517</v>
      </c>
      <c r="C4" s="36" t="s">
        <v>518</v>
      </c>
      <c r="D4" s="36" t="s">
        <v>519</v>
      </c>
      <c r="E4" s="36" t="s">
        <v>520</v>
      </c>
      <c r="F4" s="36" t="s">
        <v>521</v>
      </c>
      <c r="H4" s="36" t="s">
        <v>517</v>
      </c>
      <c r="I4" s="36" t="s">
        <v>518</v>
      </c>
      <c r="J4" s="36" t="s">
        <v>519</v>
      </c>
      <c r="K4" s="36" t="s">
        <v>520</v>
      </c>
      <c r="L4" s="36" t="s">
        <v>521</v>
      </c>
    </row>
    <row r="5" spans="1:18" ht="15" customHeight="1" x14ac:dyDescent="0.35">
      <c r="B5" s="34" t="s">
        <v>522</v>
      </c>
      <c r="C5" s="30">
        <f>COUNTIFS(Elek_Analog!G5:G200,"Pass",Elek_Analog!K5:K200,"Fail")</f>
        <v>3</v>
      </c>
      <c r="D5" s="38">
        <f>IFERROR(C5/C9,0)</f>
        <v>0.5</v>
      </c>
      <c r="E5" s="38">
        <f>D5</f>
        <v>0.5</v>
      </c>
      <c r="F5" s="30" t="str">
        <f>IF(C5=0,"—",IF(C5&gt;2,"▲ High","● Normal"))</f>
        <v>▲ High</v>
      </c>
      <c r="H5" s="34" t="s">
        <v>522</v>
      </c>
      <c r="I5" s="30">
        <f>COUNTIFS(Elek_Digital!G5:G200,"Pass",Elek_Digital!K5:K200,"Fail")</f>
        <v>8</v>
      </c>
      <c r="J5" s="38">
        <f>IFERROR(I5/I9,0)</f>
        <v>0.5714285714285714</v>
      </c>
      <c r="K5" s="38">
        <f>J5</f>
        <v>0.5714285714285714</v>
      </c>
      <c r="L5" s="30" t="str">
        <f>IF(I5=0,"—",IF(I5&gt;2,"▲ High","● Normal"))</f>
        <v>▲ High</v>
      </c>
    </row>
    <row r="6" spans="1:18" ht="15" customHeight="1" x14ac:dyDescent="0.35">
      <c r="B6" s="40" t="s">
        <v>523</v>
      </c>
      <c r="C6" s="35">
        <f>COUNTIFS(Elek_Analog!G5:G200,"Fail")</f>
        <v>0</v>
      </c>
      <c r="D6" s="45">
        <f>IFERROR(C6/C9,0)</f>
        <v>0</v>
      </c>
      <c r="E6" s="45">
        <f>E5+D6</f>
        <v>0.5</v>
      </c>
      <c r="F6" s="35" t="str">
        <f>IF(C6=0,"—",IF(C6&gt;2,"▲ High","● Normal"))</f>
        <v>—</v>
      </c>
      <c r="H6" s="40" t="s">
        <v>523</v>
      </c>
      <c r="I6" s="35">
        <f>COUNTIFS(Elek_Digital!G5:G200,"Fail")</f>
        <v>3</v>
      </c>
      <c r="J6" s="45">
        <f>IFERROR(I6/I9,0)</f>
        <v>0.21428571428571427</v>
      </c>
      <c r="K6" s="45">
        <f>K5+J6</f>
        <v>0.7857142857142857</v>
      </c>
      <c r="L6" s="35" t="str">
        <f>IF(I6=0,"—",IF(I6&gt;2,"▲ High","● Normal"))</f>
        <v>▲ High</v>
      </c>
    </row>
    <row r="7" spans="1:18" ht="15" customHeight="1" x14ac:dyDescent="0.35">
      <c r="B7" s="34" t="s">
        <v>524</v>
      </c>
      <c r="C7" s="30">
        <f>COUNTIFS(Elek_Analog!M5:M200,"Fail",Elek_Analog!K5:K200,"Pass",Elek_Analog!G5:G200,"Pass")</f>
        <v>3</v>
      </c>
      <c r="D7" s="38">
        <f>IFERROR(C7/C9,0)</f>
        <v>0.5</v>
      </c>
      <c r="E7" s="38">
        <f>E6+D7</f>
        <v>1</v>
      </c>
      <c r="F7" s="30" t="str">
        <f>IF(C7=0,"—",IF(C7&gt;2,"▲ High","● Normal"))</f>
        <v>▲ High</v>
      </c>
      <c r="H7" s="34" t="s">
        <v>524</v>
      </c>
      <c r="I7" s="30">
        <f>COUNTIFS(Elek_Digital!M5:M200,"Fail",Elek_Digital!K5:K200,"Pass",Elek_Digital!G5:G200,"Pass")</f>
        <v>3</v>
      </c>
      <c r="J7" s="38">
        <f>IFERROR(I7/I9,0)</f>
        <v>0.21428571428571427</v>
      </c>
      <c r="K7" s="38">
        <f>K6+J7</f>
        <v>1</v>
      </c>
      <c r="L7" s="30" t="str">
        <f>IF(I7=0,"—",IF(I7&gt;2,"▲ High","● Normal"))</f>
        <v>▲ High</v>
      </c>
    </row>
    <row r="8" spans="1:18" ht="15" customHeight="1" x14ac:dyDescent="0.35">
      <c r="B8" s="40" t="s">
        <v>525</v>
      </c>
      <c r="C8" s="35">
        <f>COUNTIFS(Elek_Analog!K5:K200,"Fail",Elek_Analog!M5:M200,"Fail")</f>
        <v>0</v>
      </c>
      <c r="D8" s="45">
        <f>IFERROR(C8/C9,0)</f>
        <v>0</v>
      </c>
      <c r="E8" s="45">
        <f>E7+D8</f>
        <v>1</v>
      </c>
      <c r="F8" s="35" t="str">
        <f>IF(C8=0,"—",IF(C8&gt;2,"▲ High","● Normal"))</f>
        <v>—</v>
      </c>
      <c r="H8" s="40" t="s">
        <v>525</v>
      </c>
      <c r="I8" s="35">
        <f>COUNTIFS(Elek_Digital!K5:K200,"Fail",Elek_Digital!M5:M200,"Fail")</f>
        <v>0</v>
      </c>
      <c r="J8" s="45">
        <f>IFERROR(I8/I9,0)</f>
        <v>0</v>
      </c>
      <c r="K8" s="45">
        <f>K7+J8</f>
        <v>1</v>
      </c>
      <c r="L8" s="35" t="str">
        <f>IF(I8=0,"—",IF(I8&gt;2,"▲ High","● Normal"))</f>
        <v>—</v>
      </c>
    </row>
    <row r="9" spans="1:18" ht="15" customHeight="1" x14ac:dyDescent="0.35">
      <c r="B9" s="25" t="s">
        <v>526</v>
      </c>
      <c r="C9" s="25">
        <f>SUM(C5:C8)</f>
        <v>6</v>
      </c>
      <c r="D9" s="46"/>
      <c r="E9" s="46"/>
      <c r="F9" s="46"/>
      <c r="H9" s="25" t="s">
        <v>526</v>
      </c>
      <c r="I9" s="25">
        <f>SUM(I5:I8)</f>
        <v>14</v>
      </c>
      <c r="J9" s="46"/>
      <c r="K9" s="46"/>
      <c r="L9" s="46"/>
    </row>
    <row r="11" spans="1:18" ht="21.75" customHeight="1" x14ac:dyDescent="0.35">
      <c r="B11" s="70" t="s">
        <v>527</v>
      </c>
      <c r="C11" s="70"/>
      <c r="D11" s="70"/>
      <c r="E11" s="70"/>
      <c r="F11" s="70"/>
      <c r="H11" s="71" t="s">
        <v>528</v>
      </c>
      <c r="I11" s="71"/>
      <c r="J11" s="71"/>
      <c r="K11" s="71"/>
      <c r="L11" s="71"/>
    </row>
    <row r="12" spans="1:18" ht="27.75" customHeight="1" x14ac:dyDescent="0.35">
      <c r="B12" s="36" t="s">
        <v>517</v>
      </c>
      <c r="C12" s="36" t="s">
        <v>518</v>
      </c>
      <c r="D12" s="36" t="s">
        <v>519</v>
      </c>
      <c r="E12" s="36" t="s">
        <v>520</v>
      </c>
      <c r="F12" s="36" t="s">
        <v>521</v>
      </c>
      <c r="H12" s="36" t="s">
        <v>517</v>
      </c>
      <c r="I12" s="36" t="s">
        <v>518</v>
      </c>
      <c r="J12" s="36" t="s">
        <v>519</v>
      </c>
      <c r="K12" s="36" t="s">
        <v>520</v>
      </c>
      <c r="L12" s="36" t="s">
        <v>521</v>
      </c>
    </row>
    <row r="13" spans="1:18" ht="15" customHeight="1" x14ac:dyDescent="0.35">
      <c r="B13" s="34" t="s">
        <v>529</v>
      </c>
      <c r="C13" s="30">
        <f>COUNTIFS(Sistem_Instr!G5:G200,"Pass",Sistem_Instr!K5:K200,"Fail")</f>
        <v>4</v>
      </c>
      <c r="D13" s="38">
        <f>IFERROR(C13/C17,0)</f>
        <v>0.44444444444444442</v>
      </c>
      <c r="E13" s="38">
        <f>D13</f>
        <v>0.44444444444444442</v>
      </c>
      <c r="F13" s="30" t="str">
        <f>IF(C13=0,"—",IF(C13&gt;2,"▲ High","● Normal"))</f>
        <v>▲ High</v>
      </c>
      <c r="H13" s="34" t="s">
        <v>530</v>
      </c>
      <c r="I13" s="30">
        <f>COUNTIFS(Jar_Komunikasi!G5:G200,"Pass",Jar_Komunikasi!K5:K200,"Fail")</f>
        <v>8</v>
      </c>
      <c r="J13" s="38">
        <f>IFERROR(I13/I17,0)</f>
        <v>0.38095238095238093</v>
      </c>
      <c r="K13" s="38">
        <f>J13</f>
        <v>0.38095238095238093</v>
      </c>
      <c r="L13" s="30" t="str">
        <f>IF(I13=0,"—",IF(I13&gt;2,"▲ High","● Normal"))</f>
        <v>▲ High</v>
      </c>
    </row>
    <row r="14" spans="1:18" ht="15" customHeight="1" x14ac:dyDescent="0.35">
      <c r="B14" s="40" t="s">
        <v>523</v>
      </c>
      <c r="C14" s="35">
        <f>COUNTIFS(Sistem_Instr!G5:G200,"Fail")</f>
        <v>1</v>
      </c>
      <c r="D14" s="45">
        <f>IFERROR(C14/C17,0)</f>
        <v>0.1111111111111111</v>
      </c>
      <c r="E14" s="45">
        <f>E13+D14</f>
        <v>0.55555555555555558</v>
      </c>
      <c r="F14" s="35" t="str">
        <f>IF(C14=0,"—",IF(C14&gt;2,"▲ High","● Normal"))</f>
        <v>● Normal</v>
      </c>
      <c r="H14" s="40" t="s">
        <v>531</v>
      </c>
      <c r="I14" s="35">
        <f>COUNTIFS(Jar_Komunikasi!G5:G200,"Fail")</f>
        <v>6</v>
      </c>
      <c r="J14" s="45">
        <f>IFERROR(I14/I17,0)</f>
        <v>0.2857142857142857</v>
      </c>
      <c r="K14" s="45">
        <f>K13+J14</f>
        <v>0.66666666666666663</v>
      </c>
      <c r="L14" s="35" t="str">
        <f>IF(I14=0,"—",IF(I14&gt;2,"▲ High","● Normal"))</f>
        <v>▲ High</v>
      </c>
    </row>
    <row r="15" spans="1:18" ht="15" customHeight="1" x14ac:dyDescent="0.35">
      <c r="B15" s="34" t="s">
        <v>532</v>
      </c>
      <c r="C15" s="30">
        <f>COUNTIFS(Sistem_Instr!M5:M200,"Fail",Sistem_Instr!K5:K200,"Pass",Sistem_Instr!G5:G200,"Pass")</f>
        <v>4</v>
      </c>
      <c r="D15" s="38">
        <f>IFERROR(C15/C17,0)</f>
        <v>0.44444444444444442</v>
      </c>
      <c r="E15" s="38">
        <f>E14+D15</f>
        <v>1</v>
      </c>
      <c r="F15" s="30" t="str">
        <f>IF(C15=0,"—",IF(C15&gt;2,"▲ High","● Normal"))</f>
        <v>▲ High</v>
      </c>
      <c r="H15" s="34" t="s">
        <v>533</v>
      </c>
      <c r="I15" s="30">
        <f>COUNTIFS(Jar_Komunikasi!M5:M200,"Fail",Jar_Komunikasi!K5:K200,"Pass",Jar_Komunikasi!G5:G200,"Pass")</f>
        <v>4</v>
      </c>
      <c r="J15" s="38">
        <f>IFERROR(I15/I17,0)</f>
        <v>0.19047619047619047</v>
      </c>
      <c r="K15" s="38">
        <f>K14+J15</f>
        <v>0.8571428571428571</v>
      </c>
      <c r="L15" s="30" t="str">
        <f>IF(I15=0,"—",IF(I15&gt;2,"▲ High","● Normal"))</f>
        <v>▲ High</v>
      </c>
    </row>
    <row r="16" spans="1:18" ht="15" customHeight="1" x14ac:dyDescent="0.35">
      <c r="B16" s="40" t="s">
        <v>525</v>
      </c>
      <c r="C16" s="35">
        <f>COUNTIFS(Sistem_Instr!K5:K200,"Fail",Sistem_Instr!M5:M200,"Fail")</f>
        <v>0</v>
      </c>
      <c r="D16" s="45">
        <f>IFERROR(C16/C17,0)</f>
        <v>0</v>
      </c>
      <c r="E16" s="45">
        <f>E15+D16</f>
        <v>1</v>
      </c>
      <c r="F16" s="35" t="str">
        <f>IF(C16=0,"—",IF(C16&gt;2,"▲ High","● Normal"))</f>
        <v>—</v>
      </c>
      <c r="H16" s="40" t="s">
        <v>525</v>
      </c>
      <c r="I16" s="35">
        <f>COUNTIFS(Jar_Komunikasi!K5:K200,"Fail",Jar_Komunikasi!M5:M200,"Fail")</f>
        <v>3</v>
      </c>
      <c r="J16" s="45">
        <f>IFERROR(I16/I17,0)</f>
        <v>0.14285714285714285</v>
      </c>
      <c r="K16" s="45">
        <f>K15+J16</f>
        <v>1</v>
      </c>
      <c r="L16" s="35" t="str">
        <f>IF(I16=0,"—",IF(I16&gt;2,"▲ High","● Normal"))</f>
        <v>▲ High</v>
      </c>
    </row>
    <row r="17" spans="2:12" ht="15" customHeight="1" x14ac:dyDescent="0.35">
      <c r="B17" s="25" t="s">
        <v>526</v>
      </c>
      <c r="C17" s="25">
        <f>SUM(C13:C16)</f>
        <v>9</v>
      </c>
      <c r="D17" s="46"/>
      <c r="E17" s="46"/>
      <c r="F17" s="46"/>
      <c r="H17" s="25" t="s">
        <v>526</v>
      </c>
      <c r="I17" s="25">
        <f>SUM(I13:I16)</f>
        <v>21</v>
      </c>
      <c r="J17" s="46"/>
      <c r="K17" s="46"/>
      <c r="L17" s="46"/>
    </row>
    <row r="44" spans="1:18" ht="24" customHeight="1" x14ac:dyDescent="0.35">
      <c r="A44" s="72" t="s">
        <v>534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</row>
    <row r="45" spans="1:18" ht="15.75" customHeight="1" x14ac:dyDescent="0.35">
      <c r="A45" s="73" t="s">
        <v>535</v>
      </c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</row>
    <row r="46" spans="1:18" ht="36" customHeight="1" x14ac:dyDescent="0.35">
      <c r="B46" s="47" t="s">
        <v>536</v>
      </c>
      <c r="C46" s="47" t="s">
        <v>537</v>
      </c>
      <c r="D46" s="47" t="s">
        <v>538</v>
      </c>
      <c r="E46" s="47" t="s">
        <v>539</v>
      </c>
      <c r="F46" s="47" t="s">
        <v>540</v>
      </c>
      <c r="G46" s="36" t="s">
        <v>541</v>
      </c>
      <c r="H46" s="36" t="s">
        <v>542</v>
      </c>
      <c r="I46" s="47" t="s">
        <v>543</v>
      </c>
      <c r="J46" s="36" t="s">
        <v>544</v>
      </c>
    </row>
    <row r="47" spans="1:18" ht="21.75" customHeight="1" x14ac:dyDescent="0.35">
      <c r="B47" s="31" t="s">
        <v>545</v>
      </c>
      <c r="C47" s="31">
        <v>320</v>
      </c>
      <c r="D47" s="31">
        <v>14</v>
      </c>
      <c r="E47" s="31">
        <v>8</v>
      </c>
      <c r="F47" s="31">
        <v>6</v>
      </c>
      <c r="G47" s="37">
        <f t="shared" ref="G47:G58" si="0">D47+E47+F47</f>
        <v>28</v>
      </c>
      <c r="H47" s="38">
        <f t="shared" ref="H47:H59" si="1">IFERROR(G47/C47,0)</f>
        <v>8.7499999999999994E-2</v>
      </c>
      <c r="I47" s="48">
        <v>5.0000000000000001E-4</v>
      </c>
      <c r="J47" s="30" t="str">
        <f t="shared" ref="J47:J58" si="2">IF(H47&lt;=I47,"On Target","Above Target")</f>
        <v>Above Target</v>
      </c>
    </row>
    <row r="48" spans="1:18" ht="21.75" customHeight="1" x14ac:dyDescent="0.35">
      <c r="B48" s="31" t="s">
        <v>546</v>
      </c>
      <c r="C48" s="31">
        <v>320</v>
      </c>
      <c r="D48" s="31">
        <v>13</v>
      </c>
      <c r="E48" s="31">
        <v>7</v>
      </c>
      <c r="F48" s="31">
        <v>5</v>
      </c>
      <c r="G48" s="37">
        <f t="shared" si="0"/>
        <v>25</v>
      </c>
      <c r="H48" s="38">
        <f t="shared" si="1"/>
        <v>7.8125E-2</v>
      </c>
      <c r="I48" s="48">
        <v>5.0000000000000001E-4</v>
      </c>
      <c r="J48" s="30" t="str">
        <f t="shared" si="2"/>
        <v>Above Target</v>
      </c>
    </row>
    <row r="49" spans="1:18" ht="21.75" customHeight="1" x14ac:dyDescent="0.35">
      <c r="B49" s="31" t="s">
        <v>547</v>
      </c>
      <c r="C49" s="31">
        <v>336</v>
      </c>
      <c r="D49" s="31">
        <v>11</v>
      </c>
      <c r="E49" s="31">
        <v>6</v>
      </c>
      <c r="F49" s="31">
        <v>4</v>
      </c>
      <c r="G49" s="37">
        <f t="shared" si="0"/>
        <v>21</v>
      </c>
      <c r="H49" s="38">
        <f t="shared" si="1"/>
        <v>6.25E-2</v>
      </c>
      <c r="I49" s="48">
        <v>5.0000000000000001E-4</v>
      </c>
      <c r="J49" s="30" t="str">
        <f t="shared" si="2"/>
        <v>Above Target</v>
      </c>
    </row>
    <row r="50" spans="1:18" ht="21.75" customHeight="1" x14ac:dyDescent="0.35">
      <c r="B50" s="31" t="s">
        <v>548</v>
      </c>
      <c r="C50" s="31">
        <v>336</v>
      </c>
      <c r="D50" s="31">
        <v>10</v>
      </c>
      <c r="E50" s="31">
        <v>6</v>
      </c>
      <c r="F50" s="31">
        <v>3</v>
      </c>
      <c r="G50" s="37">
        <f t="shared" si="0"/>
        <v>19</v>
      </c>
      <c r="H50" s="38">
        <f t="shared" si="1"/>
        <v>5.6547619047619048E-2</v>
      </c>
      <c r="I50" s="48">
        <v>5.0000000000000001E-4</v>
      </c>
      <c r="J50" s="30" t="str">
        <f t="shared" si="2"/>
        <v>Above Target</v>
      </c>
    </row>
    <row r="51" spans="1:18" ht="21.75" customHeight="1" x14ac:dyDescent="0.35">
      <c r="B51" s="31" t="s">
        <v>549</v>
      </c>
      <c r="C51" s="31">
        <v>352</v>
      </c>
      <c r="D51" s="31">
        <v>8</v>
      </c>
      <c r="E51" s="31">
        <v>5</v>
      </c>
      <c r="F51" s="31">
        <v>3</v>
      </c>
      <c r="G51" s="37">
        <f t="shared" si="0"/>
        <v>16</v>
      </c>
      <c r="H51" s="38">
        <f t="shared" si="1"/>
        <v>4.5454545454545456E-2</v>
      </c>
      <c r="I51" s="48">
        <v>5.0000000000000001E-4</v>
      </c>
      <c r="J51" s="30" t="str">
        <f t="shared" si="2"/>
        <v>Above Target</v>
      </c>
    </row>
    <row r="52" spans="1:18" ht="21.75" customHeight="1" x14ac:dyDescent="0.35">
      <c r="B52" s="31" t="s">
        <v>550</v>
      </c>
      <c r="C52" s="31">
        <v>352</v>
      </c>
      <c r="D52" s="31">
        <v>7</v>
      </c>
      <c r="E52" s="31">
        <v>4</v>
      </c>
      <c r="F52" s="31">
        <v>3</v>
      </c>
      <c r="G52" s="37">
        <f t="shared" si="0"/>
        <v>14</v>
      </c>
      <c r="H52" s="38">
        <f t="shared" si="1"/>
        <v>3.9772727272727272E-2</v>
      </c>
      <c r="I52" s="48">
        <v>5.0000000000000001E-4</v>
      </c>
      <c r="J52" s="30" t="str">
        <f t="shared" si="2"/>
        <v>Above Target</v>
      </c>
    </row>
    <row r="53" spans="1:18" ht="21.75" customHeight="1" x14ac:dyDescent="0.35">
      <c r="B53" s="31" t="s">
        <v>551</v>
      </c>
      <c r="C53" s="31">
        <v>368</v>
      </c>
      <c r="D53" s="31">
        <v>6</v>
      </c>
      <c r="E53" s="31">
        <v>4</v>
      </c>
      <c r="F53" s="31">
        <v>2</v>
      </c>
      <c r="G53" s="37">
        <f t="shared" si="0"/>
        <v>12</v>
      </c>
      <c r="H53" s="38">
        <f t="shared" si="1"/>
        <v>3.2608695652173912E-2</v>
      </c>
      <c r="I53" s="48">
        <v>5.0000000000000001E-4</v>
      </c>
      <c r="J53" s="30" t="str">
        <f t="shared" si="2"/>
        <v>Above Target</v>
      </c>
    </row>
    <row r="54" spans="1:18" ht="21.75" customHeight="1" x14ac:dyDescent="0.35">
      <c r="B54" s="31" t="s">
        <v>552</v>
      </c>
      <c r="C54" s="31">
        <v>368</v>
      </c>
      <c r="D54" s="31">
        <v>5</v>
      </c>
      <c r="E54" s="31">
        <v>3</v>
      </c>
      <c r="F54" s="31">
        <v>2</v>
      </c>
      <c r="G54" s="37">
        <f t="shared" si="0"/>
        <v>10</v>
      </c>
      <c r="H54" s="38">
        <f t="shared" si="1"/>
        <v>2.717391304347826E-2</v>
      </c>
      <c r="I54" s="48">
        <v>5.0000000000000001E-4</v>
      </c>
      <c r="J54" s="30" t="str">
        <f t="shared" si="2"/>
        <v>Above Target</v>
      </c>
    </row>
    <row r="55" spans="1:18" ht="21.75" customHeight="1" x14ac:dyDescent="0.35">
      <c r="B55" s="31" t="s">
        <v>553</v>
      </c>
      <c r="C55" s="31">
        <v>368</v>
      </c>
      <c r="D55" s="31">
        <v>5</v>
      </c>
      <c r="E55" s="31">
        <v>3</v>
      </c>
      <c r="F55" s="31">
        <v>2</v>
      </c>
      <c r="G55" s="37">
        <f t="shared" si="0"/>
        <v>10</v>
      </c>
      <c r="H55" s="38">
        <f t="shared" si="1"/>
        <v>2.717391304347826E-2</v>
      </c>
      <c r="I55" s="48">
        <v>5.0000000000000001E-4</v>
      </c>
      <c r="J55" s="30" t="str">
        <f t="shared" si="2"/>
        <v>Above Target</v>
      </c>
    </row>
    <row r="56" spans="1:18" ht="21.75" customHeight="1" x14ac:dyDescent="0.35">
      <c r="B56" s="31" t="s">
        <v>554</v>
      </c>
      <c r="C56" s="31">
        <v>384</v>
      </c>
      <c r="D56" s="31">
        <v>4</v>
      </c>
      <c r="E56" s="31">
        <v>3</v>
      </c>
      <c r="F56" s="31">
        <v>1</v>
      </c>
      <c r="G56" s="37">
        <f t="shared" si="0"/>
        <v>8</v>
      </c>
      <c r="H56" s="38">
        <f t="shared" si="1"/>
        <v>2.0833333333333332E-2</v>
      </c>
      <c r="I56" s="48">
        <v>5.0000000000000001E-4</v>
      </c>
      <c r="J56" s="30" t="str">
        <f t="shared" si="2"/>
        <v>Above Target</v>
      </c>
    </row>
    <row r="57" spans="1:18" ht="21.75" customHeight="1" x14ac:dyDescent="0.35">
      <c r="B57" s="31" t="s">
        <v>555</v>
      </c>
      <c r="C57" s="31">
        <v>384</v>
      </c>
      <c r="D57" s="31">
        <v>4</v>
      </c>
      <c r="E57" s="31">
        <v>2</v>
      </c>
      <c r="F57" s="31">
        <v>1</v>
      </c>
      <c r="G57" s="37">
        <f t="shared" si="0"/>
        <v>7</v>
      </c>
      <c r="H57" s="38">
        <f t="shared" si="1"/>
        <v>1.8229166666666668E-2</v>
      </c>
      <c r="I57" s="48">
        <v>5.0000000000000001E-4</v>
      </c>
      <c r="J57" s="30" t="str">
        <f t="shared" si="2"/>
        <v>Above Target</v>
      </c>
    </row>
    <row r="58" spans="1:18" ht="21.75" customHeight="1" x14ac:dyDescent="0.35">
      <c r="B58" s="31" t="s">
        <v>556</v>
      </c>
      <c r="C58" s="31">
        <v>400</v>
      </c>
      <c r="D58" s="31">
        <v>3</v>
      </c>
      <c r="E58" s="31">
        <v>2</v>
      </c>
      <c r="F58" s="31">
        <v>1</v>
      </c>
      <c r="G58" s="37">
        <f t="shared" si="0"/>
        <v>6</v>
      </c>
      <c r="H58" s="38">
        <f t="shared" si="1"/>
        <v>1.4999999999999999E-2</v>
      </c>
      <c r="I58" s="48">
        <v>5.0000000000000001E-4</v>
      </c>
      <c r="J58" s="30" t="str">
        <f t="shared" si="2"/>
        <v>Above Target</v>
      </c>
    </row>
    <row r="59" spans="1:18" ht="15" customHeight="1" x14ac:dyDescent="0.35">
      <c r="B59" s="25" t="s">
        <v>557</v>
      </c>
      <c r="C59" s="49">
        <f>SUM(C47:C58)</f>
        <v>4288</v>
      </c>
      <c r="D59" s="49">
        <f>SUM(D47:D58)</f>
        <v>90</v>
      </c>
      <c r="E59" s="49">
        <f>SUM(E47:E58)</f>
        <v>53</v>
      </c>
      <c r="F59" s="49">
        <f>SUM(F47:F58)</f>
        <v>33</v>
      </c>
      <c r="G59" s="49">
        <f>SUM(G47:G58)</f>
        <v>176</v>
      </c>
      <c r="H59" s="26">
        <f t="shared" si="1"/>
        <v>4.1044776119402986E-2</v>
      </c>
    </row>
    <row r="60" spans="1:18" ht="6" customHeight="1" x14ac:dyDescent="0.35"/>
    <row r="61" spans="1:18" ht="18" customHeight="1" x14ac:dyDescent="0.35">
      <c r="A61" s="3" t="s">
        <v>558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18" customHeight="1" x14ac:dyDescent="0.35">
      <c r="A62" s="27" t="s">
        <v>13</v>
      </c>
      <c r="B62" s="2" t="s">
        <v>14</v>
      </c>
      <c r="C62" s="2"/>
      <c r="D62" s="2"/>
      <c r="E62" s="2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</row>
    <row r="63" spans="1:18" ht="24" customHeight="1" x14ac:dyDescent="0.35">
      <c r="A63" s="28" t="s">
        <v>559</v>
      </c>
      <c r="B63" s="50" t="s">
        <v>560</v>
      </c>
      <c r="C63" s="50"/>
      <c r="D63" s="50"/>
      <c r="E63" s="50"/>
      <c r="F63" s="50"/>
      <c r="G63" s="50"/>
      <c r="H63" s="50"/>
      <c r="I63" s="50"/>
      <c r="J63" s="51" t="s">
        <v>561</v>
      </c>
      <c r="K63" s="51"/>
      <c r="L63" s="51"/>
      <c r="M63" s="51"/>
      <c r="N63" s="51"/>
      <c r="O63" s="51"/>
      <c r="P63" s="51"/>
      <c r="Q63" s="51"/>
      <c r="R63" s="51"/>
    </row>
    <row r="64" spans="1:18" ht="21" customHeight="1" x14ac:dyDescent="0.35">
      <c r="A64" s="29" t="s">
        <v>519</v>
      </c>
      <c r="B64" s="52">
        <f>IFERROR(count / total_count, 0)</f>
        <v>0</v>
      </c>
      <c r="C64" s="52"/>
      <c r="D64" s="52"/>
      <c r="E64" s="52"/>
      <c r="F64" s="52"/>
      <c r="G64" s="52"/>
      <c r="H64" s="52"/>
      <c r="I64" s="52"/>
      <c r="J64" s="53" t="s">
        <v>562</v>
      </c>
      <c r="K64" s="53"/>
      <c r="L64" s="53"/>
      <c r="M64" s="53"/>
      <c r="N64" s="53"/>
      <c r="O64" s="53"/>
      <c r="P64" s="53"/>
      <c r="Q64" s="53"/>
      <c r="R64" s="53"/>
    </row>
    <row r="65" spans="1:18" ht="20" customHeight="1" x14ac:dyDescent="0.35">
      <c r="A65" s="28" t="s">
        <v>520</v>
      </c>
      <c r="B65" s="50" t="s">
        <v>563</v>
      </c>
      <c r="C65" s="50"/>
      <c r="D65" s="50"/>
      <c r="E65" s="50"/>
      <c r="F65" s="50"/>
      <c r="G65" s="50"/>
      <c r="H65" s="50"/>
      <c r="I65" s="50"/>
      <c r="J65" s="51" t="s">
        <v>564</v>
      </c>
      <c r="K65" s="51"/>
      <c r="L65" s="51"/>
      <c r="M65" s="51"/>
      <c r="N65" s="51"/>
      <c r="O65" s="51"/>
      <c r="P65" s="51"/>
      <c r="Q65" s="51"/>
      <c r="R65" s="51"/>
    </row>
    <row r="66" spans="1:18" ht="18" customHeight="1" x14ac:dyDescent="0.35">
      <c r="A66" s="29" t="s">
        <v>565</v>
      </c>
      <c r="B66" s="52" t="s">
        <v>566</v>
      </c>
      <c r="C66" s="52"/>
      <c r="D66" s="52"/>
      <c r="E66" s="52"/>
      <c r="F66" s="52"/>
      <c r="G66" s="52"/>
      <c r="H66" s="52"/>
      <c r="I66" s="52"/>
      <c r="J66" s="53" t="s">
        <v>567</v>
      </c>
      <c r="K66" s="53"/>
      <c r="L66" s="53"/>
      <c r="M66" s="53"/>
      <c r="N66" s="53"/>
      <c r="O66" s="53"/>
      <c r="P66" s="53"/>
      <c r="Q66" s="53"/>
      <c r="R66" s="53"/>
    </row>
    <row r="67" spans="1:18" ht="15.75" customHeight="1" x14ac:dyDescent="0.35">
      <c r="A67" s="54" t="s">
        <v>568</v>
      </c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</row>
    <row r="69" spans="1:18" ht="6" customHeight="1" x14ac:dyDescent="0.35"/>
    <row r="70" spans="1:18" ht="18" customHeight="1" x14ac:dyDescent="0.35">
      <c r="A70" s="60" t="s">
        <v>569</v>
      </c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</row>
    <row r="71" spans="1:18" ht="18" customHeight="1" x14ac:dyDescent="0.35">
      <c r="A71" s="27" t="s">
        <v>13</v>
      </c>
      <c r="B71" s="2" t="s">
        <v>14</v>
      </c>
      <c r="C71" s="2"/>
      <c r="D71" s="2"/>
      <c r="E71" s="2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</row>
    <row r="72" spans="1:18" ht="18" customHeight="1" x14ac:dyDescent="0.35">
      <c r="A72" s="28" t="s">
        <v>570</v>
      </c>
      <c r="B72" s="50" t="s">
        <v>571</v>
      </c>
      <c r="C72" s="50"/>
      <c r="D72" s="50"/>
      <c r="E72" s="50"/>
      <c r="F72" s="50"/>
      <c r="G72" s="50"/>
      <c r="H72" s="50"/>
      <c r="I72" s="50"/>
      <c r="J72" s="51" t="s">
        <v>572</v>
      </c>
      <c r="K72" s="51"/>
      <c r="L72" s="51"/>
      <c r="M72" s="51"/>
      <c r="N72" s="51"/>
      <c r="O72" s="51"/>
      <c r="P72" s="51"/>
      <c r="Q72" s="51"/>
      <c r="R72" s="51"/>
    </row>
    <row r="73" spans="1:18" ht="18" customHeight="1" x14ac:dyDescent="0.35">
      <c r="A73" s="29" t="s">
        <v>573</v>
      </c>
      <c r="B73" s="52" t="s">
        <v>574</v>
      </c>
      <c r="C73" s="52"/>
      <c r="D73" s="52"/>
      <c r="E73" s="52"/>
      <c r="F73" s="52"/>
      <c r="G73" s="52"/>
      <c r="H73" s="52"/>
      <c r="I73" s="52"/>
      <c r="J73" s="53" t="s">
        <v>575</v>
      </c>
      <c r="K73" s="53"/>
      <c r="L73" s="53"/>
      <c r="M73" s="53"/>
      <c r="N73" s="53"/>
      <c r="O73" s="53"/>
      <c r="P73" s="53"/>
      <c r="Q73" s="53"/>
      <c r="R73" s="53"/>
    </row>
    <row r="74" spans="1:18" ht="18" customHeight="1" x14ac:dyDescent="0.35">
      <c r="A74" s="28" t="s">
        <v>576</v>
      </c>
      <c r="B74" s="50" t="s">
        <v>577</v>
      </c>
      <c r="C74" s="50"/>
      <c r="D74" s="50"/>
      <c r="E74" s="50"/>
      <c r="F74" s="50"/>
      <c r="G74" s="50"/>
      <c r="H74" s="50"/>
      <c r="I74" s="50"/>
      <c r="J74" s="51" t="s">
        <v>578</v>
      </c>
      <c r="K74" s="51"/>
      <c r="L74" s="51"/>
      <c r="M74" s="51"/>
      <c r="N74" s="51"/>
      <c r="O74" s="51"/>
      <c r="P74" s="51"/>
      <c r="Q74" s="51"/>
      <c r="R74" s="51"/>
    </row>
    <row r="75" spans="1:18" ht="18" customHeight="1" x14ac:dyDescent="0.35">
      <c r="A75" s="29" t="s">
        <v>579</v>
      </c>
      <c r="B75" s="52" t="s">
        <v>580</v>
      </c>
      <c r="C75" s="52"/>
      <c r="D75" s="52"/>
      <c r="E75" s="52"/>
      <c r="F75" s="52"/>
      <c r="G75" s="52"/>
      <c r="H75" s="52"/>
      <c r="I75" s="52"/>
      <c r="J75" s="53" t="s">
        <v>581</v>
      </c>
      <c r="K75" s="53"/>
      <c r="L75" s="53"/>
      <c r="M75" s="53"/>
      <c r="N75" s="53"/>
      <c r="O75" s="53"/>
      <c r="P75" s="53"/>
      <c r="Q75" s="53"/>
      <c r="R75" s="53"/>
    </row>
    <row r="76" spans="1:18" ht="15.75" customHeight="1" x14ac:dyDescent="0.35">
      <c r="A76" s="54" t="s">
        <v>582</v>
      </c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</row>
  </sheetData>
  <mergeCells count="32">
    <mergeCell ref="B75:I75"/>
    <mergeCell ref="J75:R75"/>
    <mergeCell ref="A76:R76"/>
    <mergeCell ref="B72:I72"/>
    <mergeCell ref="J72:R72"/>
    <mergeCell ref="B73:I73"/>
    <mergeCell ref="J73:R73"/>
    <mergeCell ref="B74:I74"/>
    <mergeCell ref="J74:R74"/>
    <mergeCell ref="B66:I66"/>
    <mergeCell ref="J66:R66"/>
    <mergeCell ref="A67:R67"/>
    <mergeCell ref="A70:R70"/>
    <mergeCell ref="B71:I71"/>
    <mergeCell ref="J71:R71"/>
    <mergeCell ref="B63:I63"/>
    <mergeCell ref="J63:R63"/>
    <mergeCell ref="B64:I64"/>
    <mergeCell ref="J64:R64"/>
    <mergeCell ref="B65:I65"/>
    <mergeCell ref="J65:R65"/>
    <mergeCell ref="A44:R44"/>
    <mergeCell ref="A45:R45"/>
    <mergeCell ref="A61:R61"/>
    <mergeCell ref="B62:I62"/>
    <mergeCell ref="J62:R62"/>
    <mergeCell ref="A1:R1"/>
    <mergeCell ref="A2:R2"/>
    <mergeCell ref="B3:F3"/>
    <mergeCell ref="H3:L3"/>
    <mergeCell ref="B11:F11"/>
    <mergeCell ref="H11:L11"/>
  </mergeCells>
  <conditionalFormatting sqref="J47:J58">
    <cfRule type="cellIs" dxfId="1" priority="2" operator="equal">
      <formula>"On Target"</formula>
    </cfRule>
    <cfRule type="cellIs" dxfId="0" priority="3" operator="equal">
      <formula>"Above Target"</formula>
    </cfRule>
  </conditionalFormatting>
  <pageMargins left="0.4" right="0.4" top="0.5" bottom="0.5" header="0.3" footer="0.3"/>
  <pageSetup paperSize="9" orientation="landscape" r:id="rId1"/>
  <headerFooter>
    <oddHeader>&amp;C&amp;9 Defect Analysis Trend</oddHeader>
    <oddFooter>&amp;LLab SSTK UGM | Defect Analysis Trend&amp;RPage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Dashboard</vt:lpstr>
      <vt:lpstr>Elek_Analog</vt:lpstr>
      <vt:lpstr>Elek_Digital</vt:lpstr>
      <vt:lpstr>Sistem_Instr</vt:lpstr>
      <vt:lpstr>Jar_Komunikasi</vt:lpstr>
      <vt:lpstr>Defect Log</vt:lpstr>
      <vt:lpstr>Defect Analysis &amp; Trend</vt:lpstr>
      <vt:lpstr>Dashboard!Print_Area</vt:lpstr>
      <vt:lpstr>'Defect Analysis &amp; Trend'!Print_Area</vt:lpstr>
      <vt:lpstr>'Defect Log'!Print_Area</vt:lpstr>
      <vt:lpstr>Elek_Analog!Print_Area</vt:lpstr>
      <vt:lpstr>Elek_Digital!Print_Area</vt:lpstr>
      <vt:lpstr>Jar_Komunikasi!Print_Area</vt:lpstr>
      <vt:lpstr>Sistem_Instr!Print_Area</vt:lpstr>
      <vt:lpstr>'Defect Analysis &amp; Trend'!Print_Titles</vt:lpstr>
      <vt:lpstr>Elek_Analog!Print_Titles</vt:lpstr>
      <vt:lpstr>Elek_Digital!Print_Titles</vt:lpstr>
      <vt:lpstr>Jar_Komunikasi!Print_Titles</vt:lpstr>
      <vt:lpstr>Sistem_Instr!Print_Titles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Naufal Suryo</cp:lastModifiedBy>
  <cp:revision>9</cp:revision>
  <cp:lastPrinted>2026-04-25T15:21:07Z</cp:lastPrinted>
  <dcterms:created xsi:type="dcterms:W3CDTF">2026-04-25T08:06:56Z</dcterms:created>
  <dcterms:modified xsi:type="dcterms:W3CDTF">2026-04-26T08:11:21Z</dcterms:modified>
  <dc:language>en-US</dc:language>
</cp:coreProperties>
</file>